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<sst xmlns="http://schemas.openxmlformats.org/spreadsheetml/2006/main" count="900" uniqueCount="178">
  <si>
    <t xml:space="preserve">SmartPLS report</t>
  </si>
  <si>
    <t xml:space="preserve">Please cite the use of SmartPLS: Ringle, C. M., Wende, S., and Becker, J.-M. 2024. "SmartPLS 4." Bönningstedt: SmartPLS, https://www.smartpls.com.</t>
  </si>
  <si>
    <t xml:space="preserve">Final results</t>
  </si>
  <si>
    <t xml:space="preserve">Path coefficients</t>
  </si>
  <si>
    <t xml:space="preserve">Matrix</t>
  </si>
  <si>
    <t xml:space="preserve"/>
  </si>
  <si>
    <t xml:space="preserve">Behaivioral Intention</t>
  </si>
  <si>
    <t xml:space="preserve">Effort Expectancy</t>
  </si>
  <si>
    <t xml:space="preserve">Hedonic Motivation</t>
  </si>
  <si>
    <t xml:space="preserve">Performance Expectance</t>
  </si>
  <si>
    <t xml:space="preserve">List</t>
  </si>
  <si>
    <t xml:space="preserve">Effort Expectancy -&gt; Behaivioral Intention</t>
  </si>
  <si>
    <t xml:space="preserve">Hedonic Motivation -&gt; Behaivioral Intention</t>
  </si>
  <si>
    <t xml:space="preserve">Performance Expectance -&gt; Behaivioral Intention</t>
  </si>
  <si>
    <t xml:space="preserve">Indirect effects</t>
  </si>
  <si>
    <t xml:space="preserve">The model does not contain indirect effects.</t>
  </si>
  <si>
    <t xml:space="preserve">Total effects</t>
  </si>
  <si>
    <t xml:space="preserve">Outer loadings</t>
  </si>
  <si>
    <t xml:space="preserve">BI2</t>
  </si>
  <si>
    <t xml:space="preserve">BI3</t>
  </si>
  <si>
    <t xml:space="preserve">EE1</t>
  </si>
  <si>
    <t xml:space="preserve">EE2</t>
  </si>
  <si>
    <t xml:space="preserve">EE3</t>
  </si>
  <si>
    <t xml:space="preserve">EE4</t>
  </si>
  <si>
    <t xml:space="preserve">HM5</t>
  </si>
  <si>
    <t xml:space="preserve">PE1</t>
  </si>
  <si>
    <t xml:space="preserve">PE3</t>
  </si>
  <si>
    <t xml:space="preserve">PE4</t>
  </si>
  <si>
    <t xml:space="preserve">BI2 &lt;- Behaivioral Intention</t>
  </si>
  <si>
    <t xml:space="preserve">BI3 &lt;- Behaivioral Intention</t>
  </si>
  <si>
    <t xml:space="preserve">EE1 &lt;- Effort Expectancy</t>
  </si>
  <si>
    <t xml:space="preserve">EE2 &lt;- Effort Expectancy</t>
  </si>
  <si>
    <t xml:space="preserve">EE3 &lt;- Effort Expectancy</t>
  </si>
  <si>
    <t xml:space="preserve">EE4 &lt;- Effort Expectancy</t>
  </si>
  <si>
    <t xml:space="preserve">HM5 &lt;- Hedonic Motivation</t>
  </si>
  <si>
    <t xml:space="preserve">PE1 &lt;- Performance Expectance</t>
  </si>
  <si>
    <t xml:space="preserve">PE3 &lt;- Performance Expectance</t>
  </si>
  <si>
    <t xml:space="preserve">PE4 &lt;- Performance Expectance</t>
  </si>
  <si>
    <t xml:space="preserve">Outer weights</t>
  </si>
  <si>
    <t xml:space="preserve">Latent variables</t>
  </si>
  <si>
    <t xml:space="preserve">Scores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</si>
  <si>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</si>
  <si>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</si>
  <si>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</si>
  <si>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</si>
  <si>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</si>
  <si>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</si>
  <si>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</si>
  <si>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</si>
  <si>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</si>
  <si>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</si>
  <si>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</si>
  <si>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</si>
  <si>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</si>
  <si>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</si>
  <si>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</si>
  <si>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</si>
  <si>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</si>
  <si>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</si>
  <si>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</si>
  <si>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</si>
  <si>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Correlations</t>
  </si>
  <si>
    <t xml:space="preserve">Covariances</t>
  </si>
  <si>
    <t xml:space="preserve">Descriptives</t>
  </si>
  <si>
    <t xml:space="preserve">Mean</t>
  </si>
  <si>
    <t xml:space="preserve">Median</t>
  </si>
  <si>
    <t xml:space="preserve">Observed min</t>
  </si>
  <si>
    <t xml:space="preserve">Observed max</t>
  </si>
  <si>
    <t xml:space="preserve">Number of observations used</t>
  </si>
  <si>
    <t xml:space="preserve">Standard deviation</t>
  </si>
  <si>
    <t xml:space="preserve">Excess kurtosis</t>
  </si>
  <si>
    <t xml:space="preserve">Skewness</t>
  </si>
  <si>
    <t xml:space="preserve">Cramér-von Mises test statistic</t>
  </si>
  <si>
    <t xml:space="preserve">Cramér-von Mises p value</t>
  </si>
  <si>
    <t xml:space="preserve">Residuals</t>
  </si>
  <si>
    <t xml:space="preserve">Outer model scores</t>
  </si>
  <si>
    <t xml:space="preserve">Case index</t>
  </si>
  <si>
    <t xml:space="preserve">Outer model correlations</t>
  </si>
  <si>
    <t xml:space="preserve">Outer model descriptives</t>
  </si>
  <si>
    <t xml:space="preserve">Inner model scores</t>
  </si>
  <si>
    <t xml:space="preserve">Inner model correlation</t>
  </si>
  <si>
    <t xml:space="preserve">Inner model descriptives</t>
  </si>
  <si>
    <t xml:space="preserve">Quality criteria</t>
  </si>
  <si>
    <t xml:space="preserve">R-square</t>
  </si>
  <si>
    <t xml:space="preserve">Overview</t>
  </si>
  <si>
    <t xml:space="preserve">R-square adjusted</t>
  </si>
  <si>
    <t xml:space="preserve">f-square</t>
  </si>
  <si>
    <t xml:space="preserve">Construct reliability and validity</t>
  </si>
  <si>
    <t xml:space="preserve">Cronbach's alpha</t>
  </si>
  <si>
    <t xml:space="preserve">Composite reliability (rho_a)</t>
  </si>
  <si>
    <t xml:space="preserve">Composite reliability (rho_c)</t>
  </si>
  <si>
    <t xml:space="preserve">Average variance extracted (AVE)</t>
  </si>
  <si>
    <t xml:space="preserve">Discriminant validity</t>
  </si>
  <si>
    <t xml:space="preserve">Heterotrait-monotrait ratio (HTMT) - Matrix</t>
  </si>
  <si>
    <t xml:space="preserve">Heterotrait-monotrait ratio (HTMT) - List</t>
  </si>
  <si>
    <t xml:space="preserve">Heterotrait-monotrait ratio (HTMT)</t>
  </si>
  <si>
    <t xml:space="preserve">Effort Expectancy &lt;-&gt; Behaivioral Intention</t>
  </si>
  <si>
    <t xml:space="preserve">Hedonic Motivation &lt;-&gt; Behaivioral Intention</t>
  </si>
  <si>
    <t xml:space="preserve">Hedonic Motivation &lt;-&gt; Effort Expectancy</t>
  </si>
  <si>
    <t xml:space="preserve">Performance Expectance &lt;-&gt; Behaivioral Intention</t>
  </si>
  <si>
    <t xml:space="preserve">Performance Expectance &lt;-&gt; Effort Expectancy</t>
  </si>
  <si>
    <t xml:space="preserve">Performance Expectance &lt;-&gt; Hedonic Motivation</t>
  </si>
  <si>
    <t xml:space="preserve">Fornell-Larcker criterion</t>
  </si>
  <si>
    <t xml:space="preserve">Cross loadings</t>
  </si>
  <si>
    <t xml:space="preserve">Collinearity statistics (VIF)</t>
  </si>
  <si>
    <t xml:space="preserve">Outer model - List</t>
  </si>
  <si>
    <t xml:space="preserve">VIF</t>
  </si>
  <si>
    <t xml:space="preserve">Inner model - Matrix</t>
  </si>
  <si>
    <t xml:space="preserve">Inner model - List</t>
  </si>
  <si>
    <t xml:space="preserve">Model fit</t>
  </si>
  <si>
    <t xml:space="preserve">Fit summary</t>
  </si>
  <si>
    <t xml:space="preserve">Saturated model</t>
  </si>
  <si>
    <t xml:space="preserve">Estimated model</t>
  </si>
  <si>
    <t xml:space="preserve">SRMR</t>
  </si>
  <si>
    <t xml:space="preserve">d_ULS</t>
  </si>
  <si>
    <t xml:space="preserve">d_G</t>
  </si>
  <si>
    <t xml:space="preserve">Chi-square</t>
  </si>
  <si>
    <t xml:space="preserve">NFI</t>
  </si>
  <si>
    <t xml:space="preserve">Model selection criteria</t>
  </si>
  <si>
    <t xml:space="preserve">BIC (Bayesian information criterion)</t>
  </si>
  <si>
    <t xml:space="preserve">Algorithm</t>
  </si>
  <si>
    <t xml:space="preserve">Setting</t>
  </si>
  <si>
    <t xml:space="preserve">Data file</t>
  </si>
  <si>
    <t xml:space="preserve">Survey sull'Accettazione dell'Innovazione Tecnologica_ UTAUT2_SmartPLS_withIndicators</t>
  </si>
  <si>
    <t xml:space="preserve">Weighting vector</t>
  </si>
  <si>
    <t xml:space="preserve">-</t>
  </si>
  <si>
    <t xml:space="preserve">PLS-SEM algorithm</t>
  </si>
  <si>
    <t xml:space="preserve">Max. number of iterations</t>
  </si>
  <si>
    <t xml:space="preserve">3000</t>
  </si>
  <si>
    <t xml:space="preserve">Stop criterion</t>
  </si>
  <si>
    <t xml:space="preserve">10⁻⁷</t>
  </si>
  <si>
    <t xml:space="preserve">Use Lohmoeller settings?</t>
  </si>
  <si>
    <t xml:space="preserve">No</t>
  </si>
  <si>
    <t xml:space="preserve">Initial weights</t>
  </si>
  <si>
    <t xml:space="preserve">1.0</t>
  </si>
  <si>
    <t xml:space="preserve">Weighting scheme</t>
  </si>
  <si>
    <t xml:space="preserve">Path</t>
  </si>
  <si>
    <t xml:space="preserve">Type of results</t>
  </si>
  <si>
    <t xml:space="preserve">Standardized</t>
  </si>
  <si>
    <t xml:space="preserve">Vary copula by binary categories</t>
  </si>
  <si>
    <t xml:space="preserve">yes</t>
  </si>
  <si>
    <t xml:space="preserve">Construct outer weighting mode</t>
  </si>
  <si>
    <t xml:space="preserve">AUTOMATIC</t>
  </si>
  <si>
    <t xml:space="preserve">Stop criterion changes</t>
  </si>
  <si>
    <t xml:space="preserve">Iteration 1</t>
  </si>
  <si>
    <t xml:space="preserve">Iteration 2</t>
  </si>
  <si>
    <t xml:space="preserve">Iteration 3</t>
  </si>
  <si>
    <t xml:space="preserve">Iteration 4</t>
  </si>
  <si>
    <t xml:space="preserve">Iteration 5</t>
  </si>
  <si>
    <t xml:space="preserve">Iteration 6</t>
  </si>
  <si>
    <t xml:space="preserve">Iteration 7</t>
  </si>
  <si>
    <t xml:space="preserve">Iteration 8</t>
  </si>
  <si>
    <t xml:space="preserve">Post-hoc power analysis</t>
  </si>
  <si>
    <t xml:space="preserve">Achieved power</t>
  </si>
  <si>
    <t xml:space="preserve">Alpha 1%</t>
  </si>
  <si>
    <t xml:space="preserve">Alpha 5%</t>
  </si>
  <si>
    <t xml:space="preserve">Required minimum sample size</t>
  </si>
  <si>
    <t xml:space="preserve">Alpha 1%, power 80%</t>
  </si>
  <si>
    <t xml:space="preserve">Alpha 5%, power 80%</t>
  </si>
  <si>
    <t xml:space="preserve">Alpha 1%, power 90%</t>
  </si>
  <si>
    <t xml:space="preserve">Alpha 5%, power 90%</t>
  </si>
  <si>
    <t xml:space="preserve">Required minimum effect size</t>
  </si>
  <si>
    <t xml:space="preserve">Execution log</t>
  </si>
  <si>
    <t xml:space="preserve">Reading score matrix of complete data set</t>
  </si>
  <si>
    <t xml:space="preserve">Calculating full data set.</t>
  </si>
  <si>
    <t xml:space="preserve">Running PLS-SEM iterations, at most 3000.</t>
  </si>
  <si>
    <t xml:space="preserve">All calculations done.</t>
  </si>
  <si>
    <t xml:space="preserve">Model and data</t>
  </si>
  <si>
    <t xml:space="preserve">Inner model</t>
  </si>
  <si>
    <t xml:space="preserve">Outer model</t>
  </si>
  <si>
    <t xml:space="preserve">Indicator data (original)</t>
  </si>
  <si>
    <t xml:space="preserve">Indicator data (standardized)</t>
  </si>
  <si>
    <t xml:space="preserve">Indicator data (correlations)</t>
  </si>
  <si>
    <t xml:space="preserve">Empirical correlation matrix</t>
  </si>
  <si>
    <t xml:space="preserve">Model implied saturated correlation matrix</t>
  </si>
  <si>
    <t xml:space="preserve">Model implied estimated correlation matrix</t>
  </si>
  <si>
    <t xml:space="preserve">Empirical covariance matrix</t>
  </si>
  <si>
    <t xml:space="preserve">complete</t>
  </si>
</sst>
</file>

<file path=xl/styles.xml><?xml version="1.0" encoding="utf-8"?>
<styleSheet xmlns="http://schemas.openxmlformats.org/spreadsheetml/2006/main">
  <numFmts count="1">
    <numFmt numFmtId="165" formatCode="0.000"/>
  </numFmts>
  <fonts count="7">
    <font>
      <sz val="11.00"/>
      <color rgb="FF000000"/>
      <name val="Calibri"/>
    </font>
    <font>
      <b/>
      <sz val="11.00"/>
      <color rgb="FF000000"/>
      <name val="Calibri"/>
    </font>
    <font>
      <i/>
      <sz val="11.00"/>
      <color rgb="FF000000"/>
      <name val="Calibri"/>
    </font>
    <font>
      <u/>
      <sz val="11.00"/>
      <color rgb="FF000000"/>
      <name val="Calibri"/>
    </font>
    <font>
      <b/>
      <u/>
      <sz val="11.00"/>
      <color rgb="FF000000"/>
      <name val="Calibri"/>
    </font>
    <font>
      <sz val="11.00"/>
      <color rgb="006400"/>
      <name val="Calibri"/>
    </font>
    <font>
      <sz val="11.00"/>
      <color rgb="8B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/>
    <xf numFmtId="165" fontId="1" fillId="0" borderId="0" xfId="0"/>
    <xf numFmtId="0" fontId="2" fillId="0" borderId="0" xfId="0"/>
    <xf numFmtId="165" fontId="2" fillId="0" borderId="0" xfId="0"/>
    <xf numFmtId="0" fontId="3" fillId="0" borderId="0" xfId="0"/>
    <xf numFmtId="165" fontId="3" fillId="0" borderId="0" xfId="0"/>
    <xf numFmtId="0" fontId="4" fillId="0" borderId="0" xfId="0"/>
    <xf numFmtId="165" fontId="4" fillId="0" borderId="0" xfId="0"/>
    <xf numFmtId="165" fontId="0" fillId="0" borderId="0" xfId="0" applyAlignment="1">
      <alignment horizontal="right"/>
    </xf>
    <xf numFmtId="0" fontId="0" fillId="0" borderId="1" xfId="0" applyBorder="1"/>
    <xf numFmtId="165" fontId="0" fillId="0" borderId="1" xfId="0" applyBorder="1" applyAlignment="1">
      <alignment horizontal="right"/>
    </xf>
    <xf numFmtId="165" fontId="0" fillId="0" borderId="1" xfId="0" applyBorder="1"/>
    <xf numFmtId="165" fontId="5" fillId="0" borderId="1" xfId="0" applyBorder="1" applyAlignment="1">
      <alignment horizontal="right"/>
    </xf>
    <xf numFmtId="165" fontId="6" fillId="0" borderId="1" xfId="0" applyBorder="1" applyAlignment="1">
      <alignment horizontal="right"/>
    </xf>
    <xf numFmtId="165" fontId="0" fillId="0" borderId="0" xfId="0" applyAlignment="1">
      <alignment horizontal="left"/>
    </xf>
    <xf numFmtId="165" fontId="1" fillId="0" borderId="0" xfId="0" applyAlignment="1">
      <alignment horizontal="left"/>
    </xf>
    <xf numFmtId="165" fontId="3" fillId="0" borderId="0" xfId="0" applyAlignment="1">
      <alignment horizontal="center"/>
    </xf>
  </cellXfs>
  <dxfs count="0"/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Relationship Id="rId3" Target="../media/image4.png" Type="http://schemas.openxmlformats.org/officeDocument/2006/relationships/image"/><Relationship Id="rId4" Target="../media/image5.png" Type="http://schemas.openxmlformats.org/officeDocument/2006/relationships/image"/><Relationship Id="rId5" Target="../media/image6.png" Type="http://schemas.openxmlformats.org/officeDocument/2006/relationships/image"/><Relationship Id="rId6" Target="../media/image7.png" Type="http://schemas.openxmlformats.org/officeDocument/2006/relationships/image"/><Relationship Id="rId7" Target="../media/image8.png" Type="http://schemas.openxmlformats.org/officeDocument/2006/relationships/image"/><Relationship Id="rId8" Target="../media/image9.png" Type="http://schemas.openxmlformats.org/officeDocument/2006/relationships/image"/><Relationship Id="rId9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0</xdr:colOff>
      <xdr:row>3</xdr:row>
      <xdr:rowOff>0</xdr:rowOff>
    </xdr:from>
    <xdr:to>
      <xdr:col>17</xdr:col>
      <xdr:colOff>160371</xdr:colOff>
      <xdr:row>24</xdr:row>
      <xdr:rowOff>66675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562725" cy="4067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5</xdr:row>
      <xdr:rowOff>0</xdr:rowOff>
    </xdr:from>
    <xdr:to>
      <xdr:col>18</xdr:col>
      <xdr:colOff>121673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18</xdr:col>
      <xdr:colOff>121673</xdr:colOff>
      <xdr:row>8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9</xdr:row>
      <xdr:rowOff>0</xdr:rowOff>
    </xdr:from>
    <xdr:to>
      <xdr:col>18</xdr:col>
      <xdr:colOff>121673</xdr:colOff>
      <xdr:row>10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11</xdr:row>
      <xdr:rowOff>0</xdr:rowOff>
    </xdr:from>
    <xdr:to>
      <xdr:col>18</xdr:col>
      <xdr:colOff>121673</xdr:colOff>
      <xdr:row>12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18</xdr:col>
      <xdr:colOff>121673</xdr:colOff>
      <xdr:row>14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</xdr:row>
      <xdr:rowOff>0</xdr:rowOff>
    </xdr:from>
    <xdr:to>
      <xdr:col>18</xdr:col>
      <xdr:colOff>121673</xdr:colOff>
      <xdr:row>16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</xdr:row>
      <xdr:rowOff>0</xdr:rowOff>
    </xdr:from>
    <xdr:to>
      <xdr:col>18</xdr:col>
      <xdr:colOff>121673</xdr:colOff>
      <xdr:row>18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18</xdr:col>
      <xdr:colOff>121673</xdr:colOff>
      <xdr:row>20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21</xdr:row>
      <xdr:rowOff>0</xdr:rowOff>
    </xdr:from>
    <xdr:to>
      <xdr:col>18</xdr:col>
      <xdr:colOff>121673</xdr:colOff>
      <xdr:row>22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C34"/>
  <sheetViews>
    <sheetView workbookViewId="0"/>
  </sheetViews>
  <sheetFormatPr defaultRowHeight="15.0"/>
  <cols>
    <col min="2" max="2" bestFit="true" customWidth="true" width="35.42578125" outlineLevel="0"/>
    <col min="3" max="3" bestFit="true" customWidth="true" width="9.42578125" outlineLevel="0"/>
  </cols>
  <sheetData>
    <row r="1">
      <c r="B1" s="2" t="s">
        <v>0</v>
      </c>
    </row>
    <row r="2">
      <c r="B2" s="4" t="s">
        <v>1</v>
      </c>
    </row>
    <row r="3">
      <c r="C3" s="8" t="s">
        <v>177</v>
      </c>
    </row>
    <row r="4" ht="15.0" customHeight="true"/>
    <row r="5">
      <c r="B5" s="8" t="s">
        <v>2</v>
      </c>
    </row>
    <row r="6">
      <c r="B6" s="6" t="s">
        <v>3</v>
      </c>
      <c r="C6" s="17">
        <f>HYPERLINK("#'complete'!B8", "show")</f>
      </c>
    </row>
    <row r="7">
      <c r="B7" s="6" t="s">
        <v>14</v>
      </c>
      <c r="C7" s="17">
        <f>HYPERLINK("#'complete'!B27", "show")</f>
      </c>
    </row>
    <row r="8">
      <c r="B8" s="6" t="s">
        <v>16</v>
      </c>
      <c r="C8" s="17">
        <f>HYPERLINK("#'complete'!B32", "show")</f>
      </c>
    </row>
    <row r="9">
      <c r="B9" s="6" t="s">
        <v>17</v>
      </c>
      <c r="C9" s="17">
        <f>HYPERLINK("#'complete'!B51", "show")</f>
      </c>
    </row>
    <row r="10">
      <c r="B10" s="6" t="s">
        <v>38</v>
      </c>
      <c r="C10" s="17">
        <f>HYPERLINK("#'complete'!B83", "show")</f>
      </c>
    </row>
    <row r="11">
      <c r="B11" s="6" t="s">
        <v>39</v>
      </c>
      <c r="C11" s="17">
        <f>HYPERLINK("#'complete'!B115", "show")</f>
      </c>
    </row>
    <row r="12">
      <c r="B12" s="6" t="s">
        <v>74</v>
      </c>
      <c r="C12" s="17">
        <f>HYPERLINK("#'complete'!B169", "show")</f>
      </c>
    </row>
    <row r="14">
      <c r="B14" s="8" t="s">
        <v>82</v>
      </c>
    </row>
    <row r="15">
      <c r="B15" s="6" t="s">
        <v>83</v>
      </c>
      <c r="C15" s="17">
        <f>HYPERLINK("#'complete'!B265", "show")</f>
      </c>
    </row>
    <row r="16">
      <c r="B16" s="6" t="s">
        <v>86</v>
      </c>
      <c r="C16" s="17">
        <f>HYPERLINK("#'complete'!B273", "show")</f>
      </c>
    </row>
    <row r="17">
      <c r="B17" s="6" t="s">
        <v>87</v>
      </c>
      <c r="C17" s="17">
        <f>HYPERLINK("#'complete'!B292", "show")</f>
      </c>
    </row>
    <row r="18">
      <c r="B18" s="6" t="s">
        <v>92</v>
      </c>
      <c r="C18" s="17">
        <f>HYPERLINK("#'complete'!B302", "show")</f>
      </c>
    </row>
    <row r="19">
      <c r="B19" s="6" t="s">
        <v>104</v>
      </c>
      <c r="C19" s="17">
        <f>HYPERLINK("#'complete'!B348", "show")</f>
      </c>
    </row>
    <row r="20">
      <c r="B20" s="6" t="s">
        <v>109</v>
      </c>
      <c r="C20" s="17">
        <f>HYPERLINK("#'complete'!B382", "show")</f>
      </c>
    </row>
    <row r="21">
      <c r="B21" s="6" t="s">
        <v>118</v>
      </c>
      <c r="C21" s="17">
        <f>HYPERLINK("#'complete'!B394", "show")</f>
      </c>
    </row>
    <row r="23">
      <c r="B23" s="8" t="s">
        <v>120</v>
      </c>
    </row>
    <row r="24">
      <c r="B24" s="6" t="s">
        <v>121</v>
      </c>
      <c r="C24" s="17">
        <f>HYPERLINK("#'complete'!B404", "show")</f>
      </c>
    </row>
    <row r="25">
      <c r="B25" s="6" t="s">
        <v>143</v>
      </c>
      <c r="C25" s="17">
        <f>HYPERLINK("#'complete'!B434", "show")</f>
      </c>
    </row>
    <row r="26">
      <c r="B26" s="6" t="s">
        <v>152</v>
      </c>
      <c r="C26" s="17">
        <f>HYPERLINK("#'complete'!B449", "show")</f>
      </c>
    </row>
    <row r="27">
      <c r="B27" s="6" t="s">
        <v>162</v>
      </c>
      <c r="C27" s="17">
        <f>HYPERLINK("#'complete'!B473", "show")</f>
      </c>
    </row>
    <row r="29">
      <c r="B29" s="8" t="s">
        <v>167</v>
      </c>
    </row>
    <row r="30">
      <c r="B30" s="6" t="s">
        <v>168</v>
      </c>
      <c r="C30" s="17">
        <f>HYPERLINK("#'complete'!B482", "show")</f>
      </c>
    </row>
    <row r="31">
      <c r="B31" s="6" t="s">
        <v>169</v>
      </c>
      <c r="C31" s="17">
        <f>HYPERLINK("#'complete'!B490", "show")</f>
      </c>
    </row>
    <row r="32">
      <c r="B32" s="6" t="s">
        <v>170</v>
      </c>
      <c r="C32" s="17">
        <f>HYPERLINK("#'complete'!B504", "show")</f>
      </c>
    </row>
    <row r="33">
      <c r="B33" s="6" t="s">
        <v>171</v>
      </c>
      <c r="C33" s="17">
        <f>HYPERLINK("#'complete'!B546", "show")</f>
      </c>
    </row>
    <row r="34">
      <c r="B34" s="6" t="s">
        <v>172</v>
      </c>
      <c r="C34" s="17">
        <f>HYPERLINK("#'complete'!B573", "show")</f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L632"/>
  <sheetViews>
    <sheetView workbookViewId="0"/>
  </sheetViews>
  <sheetFormatPr defaultRowHeight="15.0"/>
  <cols>
    <col min="2" max="2" bestFit="true" customWidth="true" width="49.42578125" outlineLevel="0"/>
    <col min="3" max="3" bestFit="true" customWidth="true" width="86.42578125" outlineLevel="0"/>
    <col min="4" max="4" bestFit="true" customWidth="true" width="30.42578125" outlineLevel="0"/>
    <col min="5" max="5" bestFit="true" customWidth="true" width="30.42578125" outlineLevel="0"/>
    <col min="6" max="6" bestFit="true" customWidth="true" width="33.42578125" outlineLevel="0"/>
    <col min="7" max="7" bestFit="true" customWidth="true" width="28.42578125" outlineLevel="0"/>
    <col min="8" max="8" bestFit="true" customWidth="true" width="23.42578125" outlineLevel="0"/>
    <col min="9" max="9" bestFit="true" customWidth="true" width="23.42578125" outlineLevel="0"/>
    <col min="10" max="10" bestFit="true" customWidth="true" width="22.42578125" outlineLevel="0"/>
    <col min="11" max="11" bestFit="true" customWidth="true" width="32.42578125" outlineLevel="0"/>
    <col min="12" max="12" bestFit="true" customWidth="true" width="25.42578125" outlineLevel="0"/>
  </cols>
  <sheetData>
    <row r="1">
      <c r="B1" s="2" t="s">
        <v>0</v>
      </c>
    </row>
    <row r="2">
      <c r="B2" s="4" t="s">
        <v>1</v>
      </c>
    </row>
    <row r="3">
      <c r="B3" s="6">
        <f>HYPERLINK("#'Navigation'!A1", "back to navigation")</f>
      </c>
    </row>
    <row r="6">
      <c r="B6" s="8" t="s">
        <v>2</v>
      </c>
    </row>
    <row r="8">
      <c r="B8" s="6" t="s">
        <v>3</v>
      </c>
    </row>
    <row r="10">
      <c r="B10" s="6" t="s">
        <v>4</v>
      </c>
    </row>
    <row r="12">
      <c r="B12" s="9" t="s">
        <v>5</v>
      </c>
      <c r="C12" s="11" t="s">
        <v>6</v>
      </c>
      <c r="D12" s="11" t="s">
        <v>7</v>
      </c>
      <c r="E12" s="11" t="s">
        <v>8</v>
      </c>
      <c r="F12" s="11" t="s">
        <v>9</v>
      </c>
    </row>
    <row r="13">
      <c r="B13" s="12" t="s">
        <v>6</v>
      </c>
      <c r="C13" s="12" t="s">
        <v>5</v>
      </c>
      <c r="D13" s="12" t="s">
        <v>5</v>
      </c>
      <c r="E13" s="12" t="s">
        <v>5</v>
      </c>
      <c r="F13" s="12" t="s">
        <v>5</v>
      </c>
    </row>
    <row r="14">
      <c r="B14" s="12" t="s">
        <v>7</v>
      </c>
      <c r="C14" s="11" t="n">
        <v>-0.09407839327150949</v>
      </c>
      <c r="D14" s="12" t="s">
        <v>5</v>
      </c>
      <c r="E14" s="12" t="s">
        <v>5</v>
      </c>
      <c r="F14" s="12" t="s">
        <v>5</v>
      </c>
    </row>
    <row r="15">
      <c r="B15" s="12" t="s">
        <v>8</v>
      </c>
      <c r="C15" s="11" t="n">
        <v>0.5809429269747819</v>
      </c>
      <c r="D15" s="12" t="s">
        <v>5</v>
      </c>
      <c r="E15" s="12" t="s">
        <v>5</v>
      </c>
      <c r="F15" s="12" t="s">
        <v>5</v>
      </c>
    </row>
    <row r="16">
      <c r="B16" s="12" t="s">
        <v>9</v>
      </c>
      <c r="C16" s="11" t="n">
        <v>0.13689346166484376</v>
      </c>
      <c r="D16" s="12" t="s">
        <v>5</v>
      </c>
      <c r="E16" s="12" t="s">
        <v>5</v>
      </c>
      <c r="F16" s="12" t="s">
        <v>5</v>
      </c>
    </row>
    <row r="19">
      <c r="B19" s="6" t="s">
        <v>10</v>
      </c>
    </row>
    <row r="21">
      <c r="B21" s="9" t="s">
        <v>5</v>
      </c>
      <c r="C21" s="11" t="s">
        <v>3</v>
      </c>
    </row>
    <row r="22">
      <c r="B22" s="12" t="s">
        <v>11</v>
      </c>
      <c r="C22" s="11" t="n">
        <v>-0.09407839327150949</v>
      </c>
    </row>
    <row r="23">
      <c r="B23" s="12" t="s">
        <v>12</v>
      </c>
      <c r="C23" s="11" t="n">
        <v>0.5809429269747819</v>
      </c>
    </row>
    <row r="24">
      <c r="B24" s="12" t="s">
        <v>13</v>
      </c>
      <c r="C24" s="11" t="n">
        <v>0.13689346166484376</v>
      </c>
    </row>
    <row r="27">
      <c r="B27" s="6" t="s">
        <v>14</v>
      </c>
    </row>
    <row r="29">
      <c r="B29" s="2" t="s">
        <v>15</v>
      </c>
    </row>
    <row r="32">
      <c r="B32" s="6" t="s">
        <v>16</v>
      </c>
    </row>
    <row r="34">
      <c r="B34" s="6" t="s">
        <v>4</v>
      </c>
    </row>
    <row r="36">
      <c r="B36" s="9" t="s">
        <v>5</v>
      </c>
      <c r="C36" s="11" t="s">
        <v>6</v>
      </c>
      <c r="D36" s="11" t="s">
        <v>7</v>
      </c>
      <c r="E36" s="11" t="s">
        <v>8</v>
      </c>
      <c r="F36" s="11" t="s">
        <v>9</v>
      </c>
    </row>
    <row r="37">
      <c r="B37" s="12" t="s">
        <v>6</v>
      </c>
      <c r="C37" s="12" t="s">
        <v>5</v>
      </c>
      <c r="D37" s="12" t="s">
        <v>5</v>
      </c>
      <c r="E37" s="12" t="s">
        <v>5</v>
      </c>
      <c r="F37" s="12" t="s">
        <v>5</v>
      </c>
    </row>
    <row r="38">
      <c r="B38" s="12" t="s">
        <v>7</v>
      </c>
      <c r="C38" s="11" t="n">
        <v>-0.09407839327150948</v>
      </c>
      <c r="D38" s="12" t="s">
        <v>5</v>
      </c>
      <c r="E38" s="12" t="s">
        <v>5</v>
      </c>
      <c r="F38" s="12" t="s">
        <v>5</v>
      </c>
    </row>
    <row r="39">
      <c r="B39" s="12" t="s">
        <v>8</v>
      </c>
      <c r="C39" s="11" t="n">
        <v>0.5809429269747819</v>
      </c>
      <c r="D39" s="12" t="s">
        <v>5</v>
      </c>
      <c r="E39" s="12" t="s">
        <v>5</v>
      </c>
      <c r="F39" s="12" t="s">
        <v>5</v>
      </c>
    </row>
    <row r="40">
      <c r="B40" s="12" t="s">
        <v>9</v>
      </c>
      <c r="C40" s="11" t="n">
        <v>0.13689346166484379</v>
      </c>
      <c r="D40" s="12" t="s">
        <v>5</v>
      </c>
      <c r="E40" s="12" t="s">
        <v>5</v>
      </c>
      <c r="F40" s="12" t="s">
        <v>5</v>
      </c>
    </row>
    <row r="43">
      <c r="B43" s="6" t="s">
        <v>10</v>
      </c>
    </row>
    <row r="45">
      <c r="B45" s="9" t="s">
        <v>5</v>
      </c>
      <c r="C45" s="11" t="s">
        <v>16</v>
      </c>
    </row>
    <row r="46">
      <c r="B46" s="12" t="s">
        <v>11</v>
      </c>
      <c r="C46" s="11" t="n">
        <v>-0.09407839327150948</v>
      </c>
    </row>
    <row r="47">
      <c r="B47" s="12" t="s">
        <v>12</v>
      </c>
      <c r="C47" s="11" t="n">
        <v>0.5809429269747819</v>
      </c>
    </row>
    <row r="48">
      <c r="B48" s="12" t="s">
        <v>13</v>
      </c>
      <c r="C48" s="11" t="n">
        <v>0.13689346166484379</v>
      </c>
    </row>
    <row r="51">
      <c r="B51" s="6" t="s">
        <v>17</v>
      </c>
    </row>
    <row r="53">
      <c r="B53" s="6" t="s">
        <v>4</v>
      </c>
    </row>
    <row r="55">
      <c r="B55" s="9" t="s">
        <v>5</v>
      </c>
      <c r="C55" s="11" t="s">
        <v>6</v>
      </c>
      <c r="D55" s="11" t="s">
        <v>7</v>
      </c>
      <c r="E55" s="11" t="s">
        <v>8</v>
      </c>
      <c r="F55" s="11" t="s">
        <v>9</v>
      </c>
    </row>
    <row r="56">
      <c r="B56" s="12" t="s">
        <v>18</v>
      </c>
      <c r="C56" s="13" t="n">
        <v>0.949791329672927</v>
      </c>
      <c r="D56" s="12" t="s">
        <v>5</v>
      </c>
      <c r="E56" s="12" t="s">
        <v>5</v>
      </c>
      <c r="F56" s="12" t="s">
        <v>5</v>
      </c>
    </row>
    <row r="57">
      <c r="B57" s="12" t="s">
        <v>19</v>
      </c>
      <c r="C57" s="13" t="n">
        <v>0.951789936570601</v>
      </c>
      <c r="D57" s="12" t="s">
        <v>5</v>
      </c>
      <c r="E57" s="12" t="s">
        <v>5</v>
      </c>
      <c r="F57" s="12" t="s">
        <v>5</v>
      </c>
    </row>
    <row r="58">
      <c r="B58" s="12" t="s">
        <v>20</v>
      </c>
      <c r="C58" s="12" t="s">
        <v>5</v>
      </c>
      <c r="D58" s="13" t="n">
        <v>0.7751308417185645</v>
      </c>
      <c r="E58" s="12" t="s">
        <v>5</v>
      </c>
      <c r="F58" s="12" t="s">
        <v>5</v>
      </c>
    </row>
    <row r="59">
      <c r="B59" s="12" t="s">
        <v>21</v>
      </c>
      <c r="C59" s="12" t="s">
        <v>5</v>
      </c>
      <c r="D59" s="13" t="n">
        <v>0.9069363287248342</v>
      </c>
      <c r="E59" s="12" t="s">
        <v>5</v>
      </c>
      <c r="F59" s="12" t="s">
        <v>5</v>
      </c>
    </row>
    <row r="60">
      <c r="B60" s="12" t="s">
        <v>22</v>
      </c>
      <c r="C60" s="12" t="s">
        <v>5</v>
      </c>
      <c r="D60" s="13" t="n">
        <v>0.8892558758967978</v>
      </c>
      <c r="E60" s="12" t="s">
        <v>5</v>
      </c>
      <c r="F60" s="12" t="s">
        <v>5</v>
      </c>
    </row>
    <row r="61">
      <c r="B61" s="12" t="s">
        <v>23</v>
      </c>
      <c r="C61" s="12" t="s">
        <v>5</v>
      </c>
      <c r="D61" s="13" t="n">
        <v>0.8568213546033957</v>
      </c>
      <c r="E61" s="12" t="s">
        <v>5</v>
      </c>
      <c r="F61" s="12" t="s">
        <v>5</v>
      </c>
    </row>
    <row r="62">
      <c r="B62" s="12" t="s">
        <v>24</v>
      </c>
      <c r="C62" s="12" t="s">
        <v>5</v>
      </c>
      <c r="D62" s="12" t="s">
        <v>5</v>
      </c>
      <c r="E62" s="13" t="n">
        <v>1.0</v>
      </c>
      <c r="F62" s="12" t="s">
        <v>5</v>
      </c>
    </row>
    <row r="63">
      <c r="B63" s="12" t="s">
        <v>25</v>
      </c>
      <c r="C63" s="12" t="s">
        <v>5</v>
      </c>
      <c r="D63" s="12" t="s">
        <v>5</v>
      </c>
      <c r="E63" s="12" t="s">
        <v>5</v>
      </c>
      <c r="F63" s="13" t="n">
        <v>0.8430907179065441</v>
      </c>
    </row>
    <row r="64">
      <c r="B64" s="12" t="s">
        <v>26</v>
      </c>
      <c r="C64" s="12" t="s">
        <v>5</v>
      </c>
      <c r="D64" s="12" t="s">
        <v>5</v>
      </c>
      <c r="E64" s="12" t="s">
        <v>5</v>
      </c>
      <c r="F64" s="13" t="n">
        <v>0.8394376560862545</v>
      </c>
    </row>
    <row r="65">
      <c r="B65" s="12" t="s">
        <v>27</v>
      </c>
      <c r="C65" s="12" t="s">
        <v>5</v>
      </c>
      <c r="D65" s="12" t="s">
        <v>5</v>
      </c>
      <c r="E65" s="12" t="s">
        <v>5</v>
      </c>
      <c r="F65" s="13" t="n">
        <v>0.8085029185684915</v>
      </c>
    </row>
    <row r="68">
      <c r="B68" s="6" t="s">
        <v>10</v>
      </c>
    </row>
    <row r="70">
      <c r="B70" s="9" t="s">
        <v>5</v>
      </c>
      <c r="C70" s="11" t="s">
        <v>17</v>
      </c>
    </row>
    <row r="71">
      <c r="B71" s="12" t="s">
        <v>28</v>
      </c>
      <c r="C71" s="13" t="n">
        <v>0.949791329672927</v>
      </c>
    </row>
    <row r="72">
      <c r="B72" s="12" t="s">
        <v>29</v>
      </c>
      <c r="C72" s="13" t="n">
        <v>0.951789936570601</v>
      </c>
    </row>
    <row r="73">
      <c r="B73" s="12" t="s">
        <v>30</v>
      </c>
      <c r="C73" s="13" t="n">
        <v>0.7751308417185645</v>
      </c>
    </row>
    <row r="74">
      <c r="B74" s="12" t="s">
        <v>31</v>
      </c>
      <c r="C74" s="13" t="n">
        <v>0.9069363287248342</v>
      </c>
    </row>
    <row r="75">
      <c r="B75" s="12" t="s">
        <v>32</v>
      </c>
      <c r="C75" s="13" t="n">
        <v>0.8892558758967978</v>
      </c>
    </row>
    <row r="76">
      <c r="B76" s="12" t="s">
        <v>33</v>
      </c>
      <c r="C76" s="13" t="n">
        <v>0.8568213546033957</v>
      </c>
    </row>
    <row r="77">
      <c r="B77" s="12" t="s">
        <v>34</v>
      </c>
      <c r="C77" s="13" t="n">
        <v>1.0</v>
      </c>
    </row>
    <row r="78">
      <c r="B78" s="12" t="s">
        <v>35</v>
      </c>
      <c r="C78" s="13" t="n">
        <v>0.8430907179065441</v>
      </c>
    </row>
    <row r="79">
      <c r="B79" s="12" t="s">
        <v>36</v>
      </c>
      <c r="C79" s="13" t="n">
        <v>0.8394376560862545</v>
      </c>
    </row>
    <row r="80">
      <c r="B80" s="12" t="s">
        <v>37</v>
      </c>
      <c r="C80" s="13" t="n">
        <v>0.8085029185684915</v>
      </c>
    </row>
    <row r="83">
      <c r="B83" s="6" t="s">
        <v>38</v>
      </c>
    </row>
    <row r="85">
      <c r="B85" s="6" t="s">
        <v>4</v>
      </c>
    </row>
    <row r="87">
      <c r="B87" s="9" t="s">
        <v>5</v>
      </c>
      <c r="C87" s="11" t="s">
        <v>6</v>
      </c>
      <c r="D87" s="11" t="s">
        <v>7</v>
      </c>
      <c r="E87" s="11" t="s">
        <v>8</v>
      </c>
      <c r="F87" s="11" t="s">
        <v>9</v>
      </c>
    </row>
    <row r="88">
      <c r="B88" s="12" t="s">
        <v>18</v>
      </c>
      <c r="C88" s="11" t="n">
        <v>0.5206672900952148</v>
      </c>
      <c r="D88" s="12" t="s">
        <v>5</v>
      </c>
      <c r="E88" s="12" t="s">
        <v>5</v>
      </c>
      <c r="F88" s="12" t="s">
        <v>5</v>
      </c>
    </row>
    <row r="89">
      <c r="B89" s="12" t="s">
        <v>19</v>
      </c>
      <c r="C89" s="11" t="n">
        <v>0.5310780276208262</v>
      </c>
      <c r="D89" s="12" t="s">
        <v>5</v>
      </c>
      <c r="E89" s="12" t="s">
        <v>5</v>
      </c>
      <c r="F89" s="12" t="s">
        <v>5</v>
      </c>
    </row>
    <row r="90">
      <c r="B90" s="12" t="s">
        <v>20</v>
      </c>
      <c r="C90" s="12" t="s">
        <v>5</v>
      </c>
      <c r="D90" s="11" t="n">
        <v>0.3033194357978798</v>
      </c>
      <c r="E90" s="12" t="s">
        <v>5</v>
      </c>
      <c r="F90" s="12" t="s">
        <v>5</v>
      </c>
    </row>
    <row r="91">
      <c r="B91" s="12" t="s">
        <v>21</v>
      </c>
      <c r="C91" s="12" t="s">
        <v>5</v>
      </c>
      <c r="D91" s="11" t="n">
        <v>0.3374349672477647</v>
      </c>
      <c r="E91" s="12" t="s">
        <v>5</v>
      </c>
      <c r="F91" s="12" t="s">
        <v>5</v>
      </c>
    </row>
    <row r="92">
      <c r="B92" s="12" t="s">
        <v>22</v>
      </c>
      <c r="C92" s="12" t="s">
        <v>5</v>
      </c>
      <c r="D92" s="11" t="n">
        <v>0.382921014121378</v>
      </c>
      <c r="E92" s="12" t="s">
        <v>5</v>
      </c>
      <c r="F92" s="12" t="s">
        <v>5</v>
      </c>
    </row>
    <row r="93">
      <c r="B93" s="12" t="s">
        <v>23</v>
      </c>
      <c r="C93" s="12" t="s">
        <v>5</v>
      </c>
      <c r="D93" s="11" t="n">
        <v>0.13811625678295403</v>
      </c>
      <c r="E93" s="12" t="s">
        <v>5</v>
      </c>
      <c r="F93" s="12" t="s">
        <v>5</v>
      </c>
    </row>
    <row r="94">
      <c r="B94" s="12" t="s">
        <v>24</v>
      </c>
      <c r="C94" s="12" t="s">
        <v>5</v>
      </c>
      <c r="D94" s="12" t="s">
        <v>5</v>
      </c>
      <c r="E94" s="11" t="n">
        <v>0.9999999999999998</v>
      </c>
      <c r="F94" s="12" t="s">
        <v>5</v>
      </c>
    </row>
    <row r="95">
      <c r="B95" s="12" t="s">
        <v>25</v>
      </c>
      <c r="C95" s="12" t="s">
        <v>5</v>
      </c>
      <c r="D95" s="12" t="s">
        <v>5</v>
      </c>
      <c r="E95" s="12" t="s">
        <v>5</v>
      </c>
      <c r="F95" s="11" t="n">
        <v>0.35209646240581266</v>
      </c>
    </row>
    <row r="96">
      <c r="B96" s="12" t="s">
        <v>26</v>
      </c>
      <c r="C96" s="12" t="s">
        <v>5</v>
      </c>
      <c r="D96" s="12" t="s">
        <v>5</v>
      </c>
      <c r="E96" s="12" t="s">
        <v>5</v>
      </c>
      <c r="F96" s="11" t="n">
        <v>0.5200134747324161</v>
      </c>
    </row>
    <row r="97">
      <c r="B97" s="12" t="s">
        <v>27</v>
      </c>
      <c r="C97" s="12" t="s">
        <v>5</v>
      </c>
      <c r="D97" s="12" t="s">
        <v>5</v>
      </c>
      <c r="E97" s="12" t="s">
        <v>5</v>
      </c>
      <c r="F97" s="11" t="n">
        <v>0.3297846454869581</v>
      </c>
    </row>
    <row r="100">
      <c r="B100" s="6" t="s">
        <v>10</v>
      </c>
    </row>
    <row r="102">
      <c r="B102" s="9" t="s">
        <v>5</v>
      </c>
      <c r="C102" s="11" t="s">
        <v>38</v>
      </c>
    </row>
    <row r="103">
      <c r="B103" s="12" t="s">
        <v>28</v>
      </c>
      <c r="C103" s="11" t="n">
        <v>0.5206672900952148</v>
      </c>
    </row>
    <row r="104">
      <c r="B104" s="12" t="s">
        <v>29</v>
      </c>
      <c r="C104" s="11" t="n">
        <v>0.5310780276208262</v>
      </c>
    </row>
    <row r="105">
      <c r="B105" s="12" t="s">
        <v>30</v>
      </c>
      <c r="C105" s="11" t="n">
        <v>0.3033194357978798</v>
      </c>
    </row>
    <row r="106">
      <c r="B106" s="12" t="s">
        <v>31</v>
      </c>
      <c r="C106" s="11" t="n">
        <v>0.3374349672477647</v>
      </c>
    </row>
    <row r="107">
      <c r="B107" s="12" t="s">
        <v>32</v>
      </c>
      <c r="C107" s="11" t="n">
        <v>0.382921014121378</v>
      </c>
    </row>
    <row r="108">
      <c r="B108" s="12" t="s">
        <v>33</v>
      </c>
      <c r="C108" s="11" t="n">
        <v>0.13811625678295403</v>
      </c>
    </row>
    <row r="109">
      <c r="B109" s="12" t="s">
        <v>34</v>
      </c>
      <c r="C109" s="11" t="n">
        <v>0.9999999999999998</v>
      </c>
    </row>
    <row r="110">
      <c r="B110" s="12" t="s">
        <v>35</v>
      </c>
      <c r="C110" s="11" t="n">
        <v>0.35209646240581266</v>
      </c>
    </row>
    <row r="111">
      <c r="B111" s="12" t="s">
        <v>36</v>
      </c>
      <c r="C111" s="11" t="n">
        <v>0.5200134747324161</v>
      </c>
    </row>
    <row r="112">
      <c r="B112" s="12" t="s">
        <v>37</v>
      </c>
      <c r="C112" s="11" t="n">
        <v>0.3297846454869581</v>
      </c>
    </row>
    <row r="115">
      <c r="B115" s="6" t="s">
        <v>39</v>
      </c>
    </row>
    <row r="117">
      <c r="B117" s="6" t="s">
        <v>40</v>
      </c>
    </row>
    <row r="119">
      <c r="B119" s="9" t="s">
        <v>5</v>
      </c>
      <c r="C119" s="11" t="s">
        <v>6</v>
      </c>
      <c r="D119" s="11" t="s">
        <v>7</v>
      </c>
      <c r="E119" s="11" t="s">
        <v>8</v>
      </c>
      <c r="F119" s="11" t="s">
        <v>9</v>
      </c>
    </row>
    <row r="120">
      <c r="B120" s="12" t="s">
        <v>41</v>
      </c>
      <c r="C120" s="11" t="n">
        <v>-0.22933505630768175</v>
      </c>
      <c r="D120" s="11" t="n">
        <v>0.7672043413666246</v>
      </c>
      <c r="E120" s="11" t="n">
        <v>0.8385481602338823</v>
      </c>
      <c r="F120" s="11" t="n">
        <v>0.9531128084096657</v>
      </c>
    </row>
    <row r="121">
      <c r="B121" s="12" t="s">
        <v>42</v>
      </c>
      <c r="C121" s="11" t="n">
        <v>1.0816613649228253</v>
      </c>
      <c r="D121" s="11" t="n">
        <v>-2.568264787421125</v>
      </c>
      <c r="E121" s="11" t="n">
        <v>-1.134506334434077</v>
      </c>
      <c r="F121" s="11" t="n">
        <v>-0.34986969310277777</v>
      </c>
    </row>
    <row r="122">
      <c r="B122" s="12" t="s">
        <v>43</v>
      </c>
      <c r="C122" s="11" t="n">
        <v>-0.22933505630768175</v>
      </c>
      <c r="D122" s="11" t="n">
        <v>0.7672043413666246</v>
      </c>
      <c r="E122" s="11" t="n">
        <v>-1.134506334434077</v>
      </c>
      <c r="F122" s="11" t="n">
        <v>0.2539707582600166</v>
      </c>
    </row>
    <row r="123">
      <c r="B123" s="12" t="s">
        <v>44</v>
      </c>
      <c r="C123" s="11" t="n">
        <v>-1.5403314775381887</v>
      </c>
      <c r="D123" s="11" t="n">
        <v>-1.172919117412596</v>
      </c>
      <c r="E123" s="11" t="n">
        <v>-2.1210335817680566</v>
      </c>
      <c r="F123" s="11" t="n">
        <v>-3.0675598597501983</v>
      </c>
    </row>
    <row r="124">
      <c r="B124" s="12" t="s">
        <v>45</v>
      </c>
      <c r="C124" s="11" t="n">
        <v>-0.8866196150760813</v>
      </c>
      <c r="D124" s="11" t="n">
        <v>-1.7176969061832876</v>
      </c>
      <c r="E124" s="11" t="n">
        <v>-0.1479790871000973</v>
      </c>
      <c r="F124" s="11" t="n">
        <v>-0.27859756177005973</v>
      </c>
    </row>
    <row r="125">
      <c r="B125" s="12" t="s">
        <v>46</v>
      </c>
      <c r="C125" s="11" t="n">
        <v>1.0816613649228253</v>
      </c>
      <c r="D125" s="11" t="n">
        <v>0.7672043413666246</v>
      </c>
      <c r="E125" s="11" t="n">
        <v>0.8385481602338823</v>
      </c>
      <c r="F125" s="11" t="n">
        <v>0.07097346330476484</v>
      </c>
    </row>
    <row r="126">
      <c r="B126" s="12" t="s">
        <v>47</v>
      </c>
      <c r="C126" s="11" t="n">
        <v>0.4243768061544257</v>
      </c>
      <c r="D126" s="11" t="n">
        <v>0.7672043413666246</v>
      </c>
      <c r="E126" s="11" t="n">
        <v>0.8385481602338823</v>
      </c>
      <c r="F126" s="11" t="n">
        <v>0.9531128084096657</v>
      </c>
    </row>
    <row r="127">
      <c r="B127" s="12" t="s">
        <v>48</v>
      </c>
      <c r="C127" s="11" t="n">
        <v>-0.22933505630768175</v>
      </c>
      <c r="D127" s="11" t="n">
        <v>-0.6281413286419043</v>
      </c>
      <c r="E127" s="11" t="n">
        <v>0.8385481602338823</v>
      </c>
      <c r="F127" s="11" t="n">
        <v>-2.9866802795317643E-4</v>
      </c>
    </row>
    <row r="128">
      <c r="B128" s="12" t="s">
        <v>49</v>
      </c>
      <c r="C128" s="11" t="n">
        <v>-1.5403314775381887</v>
      </c>
      <c r="D128" s="11" t="n">
        <v>0.7672043413666246</v>
      </c>
      <c r="E128" s="11" t="n">
        <v>-0.1479790871000973</v>
      </c>
      <c r="F128" s="11" t="n">
        <v>0.9531128084096657</v>
      </c>
    </row>
    <row r="129">
      <c r="B129" s="12" t="s">
        <v>50</v>
      </c>
      <c r="C129" s="11" t="n">
        <v>0.4279495024607177</v>
      </c>
      <c r="D129" s="11" t="n">
        <v>0.11762561112746359</v>
      </c>
      <c r="E129" s="11" t="n">
        <v>0.8385481602338823</v>
      </c>
      <c r="F129" s="11" t="n">
        <v>0.9531128084096657</v>
      </c>
    </row>
    <row r="130">
      <c r="B130" s="12" t="s">
        <v>51</v>
      </c>
      <c r="C130" s="11" t="n">
        <v>1.0816613649228253</v>
      </c>
      <c r="D130" s="11" t="n">
        <v>0.7672043413666246</v>
      </c>
      <c r="E130" s="11" t="n">
        <v>0.8385481602338823</v>
      </c>
      <c r="F130" s="11" t="n">
        <v>0.2539707582600166</v>
      </c>
    </row>
    <row r="131">
      <c r="B131" s="12" t="s">
        <v>52</v>
      </c>
      <c r="C131" s="11" t="n">
        <v>-0.22933505630768175</v>
      </c>
      <c r="D131" s="11" t="n">
        <v>0.11762561112746359</v>
      </c>
      <c r="E131" s="11" t="n">
        <v>-0.1479790871000973</v>
      </c>
      <c r="F131" s="11" t="n">
        <v>-0.882438013132854</v>
      </c>
    </row>
    <row r="132">
      <c r="B132" s="12" t="s">
        <v>53</v>
      </c>
      <c r="C132" s="11" t="n">
        <v>-1.5403314775381887</v>
      </c>
      <c r="D132" s="11" t="n">
        <v>0.7672043413666246</v>
      </c>
      <c r="E132" s="11" t="n">
        <v>-1.134506334434077</v>
      </c>
      <c r="F132" s="11" t="n">
        <v>-1.2320090382076785</v>
      </c>
    </row>
    <row r="133">
      <c r="B133" s="12" t="s">
        <v>54</v>
      </c>
      <c r="C133" s="11" t="n">
        <v>1.0816613649228253</v>
      </c>
      <c r="D133" s="11" t="n">
        <v>0.7672043413666246</v>
      </c>
      <c r="E133" s="11" t="n">
        <v>0.8385481602338823</v>
      </c>
      <c r="F133" s="11" t="n">
        <v>0.9531128084096657</v>
      </c>
    </row>
    <row r="134">
      <c r="B134" s="12" t="s">
        <v>55</v>
      </c>
      <c r="C134" s="11" t="n">
        <v>1.0816613649228253</v>
      </c>
      <c r="D134" s="11" t="n">
        <v>0.7672043413666246</v>
      </c>
      <c r="E134" s="11" t="n">
        <v>0.8385481602338823</v>
      </c>
      <c r="F134" s="11" t="n">
        <v>0.9531128084096657</v>
      </c>
    </row>
    <row r="135">
      <c r="B135" s="12" t="s">
        <v>56</v>
      </c>
      <c r="C135" s="11" t="n">
        <v>1.0816613649228253</v>
      </c>
      <c r="D135" s="11" t="n">
        <v>0.26278286928146577</v>
      </c>
      <c r="E135" s="11" t="n">
        <v>0.8385481602338823</v>
      </c>
      <c r="F135" s="11" t="n">
        <v>0.9531128084096657</v>
      </c>
    </row>
    <row r="136">
      <c r="B136" s="12" t="s">
        <v>57</v>
      </c>
      <c r="C136" s="11" t="n">
        <v>1.0816613649228253</v>
      </c>
      <c r="D136" s="11" t="n">
        <v>0.22242655259593297</v>
      </c>
      <c r="E136" s="11" t="n">
        <v>-0.1479790871000973</v>
      </c>
      <c r="F136" s="11" t="n">
        <v>-2.9866802795317643E-4</v>
      </c>
    </row>
    <row r="137">
      <c r="B137" s="12" t="s">
        <v>58</v>
      </c>
      <c r="C137" s="11" t="n">
        <v>0.4243768061544257</v>
      </c>
      <c r="D137" s="11" t="n">
        <v>0.5258588736824155</v>
      </c>
      <c r="E137" s="11" t="n">
        <v>0.8385481602338823</v>
      </c>
      <c r="F137" s="11" t="n">
        <v>-0.27859756177005973</v>
      </c>
    </row>
    <row r="138">
      <c r="B138" s="12" t="s">
        <v>59</v>
      </c>
      <c r="C138" s="11" t="n">
        <v>-1.5403314775381887</v>
      </c>
      <c r="D138" s="11" t="n">
        <v>-0.38679586095769525</v>
      </c>
      <c r="E138" s="11" t="n">
        <v>-2.1210335817680566</v>
      </c>
      <c r="F138" s="11" t="n">
        <v>-1.2320090382076785</v>
      </c>
    </row>
    <row r="139">
      <c r="B139" s="12" t="s">
        <v>60</v>
      </c>
      <c r="C139" s="11" t="n">
        <v>-0.8830469187697892</v>
      </c>
      <c r="D139" s="11" t="n">
        <v>-1.6773405894977547</v>
      </c>
      <c r="E139" s="11" t="n">
        <v>-0.1479790871000973</v>
      </c>
      <c r="F139" s="11" t="n">
        <v>0.07097346330476484</v>
      </c>
    </row>
    <row r="142">
      <c r="B142" s="6" t="s">
        <v>61</v>
      </c>
    </row>
    <row r="144">
      <c r="B144" s="9" t="s">
        <v>5</v>
      </c>
      <c r="C144" s="11" t="s">
        <v>6</v>
      </c>
      <c r="D144" s="11" t="s">
        <v>7</v>
      </c>
      <c r="E144" s="11" t="s">
        <v>8</v>
      </c>
      <c r="F144" s="11" t="s">
        <v>9</v>
      </c>
    </row>
    <row r="145">
      <c r="B145" s="12" t="s">
        <v>6</v>
      </c>
      <c r="C145" s="11" t="n">
        <v>1.0</v>
      </c>
      <c r="D145" s="11" t="n">
        <v>0.2236812135710835</v>
      </c>
      <c r="E145" s="11" t="n">
        <v>0.6449752812893715</v>
      </c>
      <c r="F145" s="11" t="n">
        <v>0.5460995856765363</v>
      </c>
    </row>
    <row r="146">
      <c r="B146" s="12" t="s">
        <v>7</v>
      </c>
      <c r="C146" s="11" t="n">
        <v>0.2236812135710835</v>
      </c>
      <c r="D146" s="11" t="n">
        <v>1.0000000000000004</v>
      </c>
      <c r="E146" s="11" t="n">
        <v>0.44564583450283807</v>
      </c>
      <c r="F146" s="11" t="n">
        <v>0.43000454979006786</v>
      </c>
    </row>
    <row r="147">
      <c r="B147" s="12" t="s">
        <v>8</v>
      </c>
      <c r="C147" s="11" t="n">
        <v>0.6449752812893715</v>
      </c>
      <c r="D147" s="11" t="n">
        <v>0.44564583450283807</v>
      </c>
      <c r="E147" s="11" t="n">
        <v>1.0000000000000004</v>
      </c>
      <c r="F147" s="11" t="n">
        <v>0.7740179633427233</v>
      </c>
    </row>
    <row r="148">
      <c r="B148" s="12" t="s">
        <v>9</v>
      </c>
      <c r="C148" s="11" t="n">
        <v>0.5460995856765363</v>
      </c>
      <c r="D148" s="11" t="n">
        <v>0.43000454979006786</v>
      </c>
      <c r="E148" s="11" t="n">
        <v>0.7740179633427233</v>
      </c>
      <c r="F148" s="11" t="n">
        <v>1.0</v>
      </c>
    </row>
    <row r="151">
      <c r="B151" s="6" t="s">
        <v>62</v>
      </c>
    </row>
    <row r="153">
      <c r="B153" s="9" t="s">
        <v>5</v>
      </c>
      <c r="C153" s="11" t="s">
        <v>6</v>
      </c>
      <c r="D153" s="11" t="s">
        <v>7</v>
      </c>
      <c r="E153" s="11" t="s">
        <v>8</v>
      </c>
      <c r="F153" s="11" t="s">
        <v>9</v>
      </c>
    </row>
    <row r="154">
      <c r="B154" s="12" t="s">
        <v>6</v>
      </c>
      <c r="C154" s="11" t="n">
        <v>0.9999999999999994</v>
      </c>
      <c r="D154" s="11" t="n">
        <v>0.22368121357108334</v>
      </c>
      <c r="E154" s="11" t="n">
        <v>0.6449752812893709</v>
      </c>
      <c r="F154" s="11" t="n">
        <v>0.5460995856765359</v>
      </c>
    </row>
    <row r="155">
      <c r="B155" s="12" t="s">
        <v>7</v>
      </c>
      <c r="C155" s="11" t="n">
        <v>0.22368121357108334</v>
      </c>
      <c r="D155" s="11" t="n">
        <v>0.9999999999999989</v>
      </c>
      <c r="E155" s="11" t="n">
        <v>0.4456458345028375</v>
      </c>
      <c r="F155" s="11" t="n">
        <v>0.4300045497900678</v>
      </c>
    </row>
    <row r="156">
      <c r="B156" s="12" t="s">
        <v>8</v>
      </c>
      <c r="C156" s="11" t="n">
        <v>0.6449752812893709</v>
      </c>
      <c r="D156" s="11" t="n">
        <v>0.4456458345028375</v>
      </c>
      <c r="E156" s="11" t="n">
        <v>0.9999999999999991</v>
      </c>
      <c r="F156" s="11" t="n">
        <v>0.7740179633427224</v>
      </c>
    </row>
    <row r="157">
      <c r="B157" s="12" t="s">
        <v>9</v>
      </c>
      <c r="C157" s="11" t="n">
        <v>0.5460995856765359</v>
      </c>
      <c r="D157" s="11" t="n">
        <v>0.4300045497900678</v>
      </c>
      <c r="E157" s="11" t="n">
        <v>0.7740179633427224</v>
      </c>
      <c r="F157" s="11" t="n">
        <v>0.9999999999999997</v>
      </c>
    </row>
    <row r="160">
      <c r="B160" s="6" t="s">
        <v>63</v>
      </c>
    </row>
    <row r="162">
      <c r="B162" s="9" t="s">
        <v>5</v>
      </c>
      <c r="C162" s="11" t="s">
        <v>64</v>
      </c>
      <c r="D162" s="11" t="s">
        <v>65</v>
      </c>
      <c r="E162" s="11" t="s">
        <v>66</v>
      </c>
      <c r="F162" s="11" t="s">
        <v>67</v>
      </c>
      <c r="G162" s="11" t="s">
        <v>68</v>
      </c>
      <c r="H162" s="11" t="s">
        <v>69</v>
      </c>
      <c r="I162" s="11" t="s">
        <v>70</v>
      </c>
      <c r="J162" s="11" t="s">
        <v>71</v>
      </c>
      <c r="K162" s="11" t="s">
        <v>72</v>
      </c>
      <c r="L162" s="11" t="s">
        <v>73</v>
      </c>
    </row>
    <row r="163">
      <c r="B163" s="12" t="s">
        <v>6</v>
      </c>
      <c r="C163" s="11" t="n">
        <v>-3.0531133177191805E-16</v>
      </c>
      <c r="D163" s="11" t="n">
        <v>0.09752087492337197</v>
      </c>
      <c r="E163" s="11" t="n">
        <v>-1.5403314775381887</v>
      </c>
      <c r="F163" s="11" t="n">
        <v>1.0816613649228253</v>
      </c>
      <c r="G163" s="11" t="n">
        <v>20.0</v>
      </c>
      <c r="H163" s="11" t="n">
        <v>0.9999999999999997</v>
      </c>
      <c r="I163" s="11" t="n">
        <v>-1.3593885140346367</v>
      </c>
      <c r="J163" s="11" t="n">
        <v>-0.37700101837573785</v>
      </c>
      <c r="K163" s="11" t="n">
        <v>0.152006658330922</v>
      </c>
      <c r="L163" s="11" t="n">
        <v>0.019987850664868963</v>
      </c>
    </row>
    <row r="164">
      <c r="B164" s="12" t="s">
        <v>7</v>
      </c>
      <c r="C164" s="11" t="n">
        <v>6.661338147750939E-17</v>
      </c>
      <c r="D164" s="11" t="n">
        <v>0.3943208714819406</v>
      </c>
      <c r="E164" s="11" t="n">
        <v>-2.568264787421125</v>
      </c>
      <c r="F164" s="11" t="n">
        <v>0.7672043413666246</v>
      </c>
      <c r="G164" s="11" t="n">
        <v>20.0</v>
      </c>
      <c r="H164" s="11" t="n">
        <v>0.9999999999999994</v>
      </c>
      <c r="I164" s="11" t="n">
        <v>0.7246624891790594</v>
      </c>
      <c r="J164" s="11" t="n">
        <v>-1.3214884054473548</v>
      </c>
      <c r="K164" s="11" t="n">
        <v>0.32459455222780176</v>
      </c>
      <c r="L164" s="11" t="n">
        <v>1.4178617353575852E-4</v>
      </c>
    </row>
    <row r="165">
      <c r="B165" s="12" t="s">
        <v>8</v>
      </c>
      <c r="C165" s="11" t="n">
        <v>-3.1502578323738816E-16</v>
      </c>
      <c r="D165" s="11" t="n">
        <v>0.3452845365668925</v>
      </c>
      <c r="E165" s="11" t="n">
        <v>-2.1210335817680566</v>
      </c>
      <c r="F165" s="11" t="n">
        <v>0.8385481602338823</v>
      </c>
      <c r="G165" s="11" t="n">
        <v>20.0</v>
      </c>
      <c r="H165" s="11" t="n">
        <v>0.9999999999999996</v>
      </c>
      <c r="I165" s="11" t="n">
        <v>-0.2536723571095023</v>
      </c>
      <c r="J165" s="11" t="n">
        <v>-0.9521896899010023</v>
      </c>
      <c r="K165" s="11" t="n">
        <v>0.29643986563757296</v>
      </c>
      <c r="L165" s="11" t="n">
        <v>3.008970495606858E-4</v>
      </c>
    </row>
    <row r="166">
      <c r="B166" s="12" t="s">
        <v>9</v>
      </c>
      <c r="C166" s="11" t="n">
        <v>5.273559366969494E-16</v>
      </c>
      <c r="D166" s="11" t="n">
        <v>0.07097346330476484</v>
      </c>
      <c r="E166" s="11" t="n">
        <v>-3.0675598597501983</v>
      </c>
      <c r="F166" s="11" t="n">
        <v>0.9531128084096657</v>
      </c>
      <c r="G166" s="11" t="n">
        <v>20.0</v>
      </c>
      <c r="H166" s="11" t="n">
        <v>0.9999999999999998</v>
      </c>
      <c r="I166" s="11" t="n">
        <v>2.952539553057391</v>
      </c>
      <c r="J166" s="11" t="n">
        <v>-1.477421188261192</v>
      </c>
      <c r="K166" s="11" t="n">
        <v>0.13845365517009411</v>
      </c>
      <c r="L166" s="11" t="n">
        <v>0.030500306440822304</v>
      </c>
    </row>
    <row r="169">
      <c r="B169" s="6" t="s">
        <v>74</v>
      </c>
    </row>
    <row r="171">
      <c r="B171" s="6" t="s">
        <v>75</v>
      </c>
    </row>
    <row r="173">
      <c r="B173" s="9" t="s">
        <v>76</v>
      </c>
      <c r="C173" s="11" t="s">
        <v>18</v>
      </c>
      <c r="D173" s="11" t="s">
        <v>19</v>
      </c>
      <c r="E173" s="11" t="s">
        <v>20</v>
      </c>
      <c r="F173" s="11" t="s">
        <v>21</v>
      </c>
      <c r="G173" s="11" t="s">
        <v>22</v>
      </c>
      <c r="H173" s="11" t="s">
        <v>23</v>
      </c>
      <c r="I173" s="11" t="s">
        <v>24</v>
      </c>
      <c r="J173" s="11" t="s">
        <v>25</v>
      </c>
      <c r="K173" s="11" t="s">
        <v>26</v>
      </c>
      <c r="L173" s="11" t="s">
        <v>27</v>
      </c>
    </row>
    <row r="174">
      <c r="B174" s="12" t="s">
        <v>41</v>
      </c>
      <c r="C174" s="11" t="n">
        <v>0.028462127141747284</v>
      </c>
      <c r="D174" s="11" t="n">
        <v>-0.027904183262162013</v>
      </c>
      <c r="E174" s="11" t="n">
        <v>-0.05586784081332419</v>
      </c>
      <c r="F174" s="11" t="n">
        <v>-0.023113905264058612</v>
      </c>
      <c r="G174" s="11" t="n">
        <v>0.08112906813817011</v>
      </c>
      <c r="H174" s="11" t="n">
        <v>-0.04576422336463126</v>
      </c>
      <c r="I174" s="11" t="n">
        <v>1.861950949497443E-16</v>
      </c>
      <c r="J174" s="11" t="n">
        <v>-0.11756622131799138</v>
      </c>
      <c r="K174" s="11" t="n">
        <v>-0.03670874516522346</v>
      </c>
      <c r="L174" s="11" t="n">
        <v>0.18340360468149808</v>
      </c>
    </row>
    <row r="175">
      <c r="B175" s="12" t="s">
        <v>42</v>
      </c>
      <c r="C175" s="11" t="n">
        <v>0.0456778992203814</v>
      </c>
      <c r="D175" s="11" t="n">
        <v>-0.04478247407610386</v>
      </c>
      <c r="E175" s="11" t="n">
        <v>0.733504132242462</v>
      </c>
      <c r="F175" s="11" t="n">
        <v>0.012203849965981506</v>
      </c>
      <c r="G175" s="11" t="n">
        <v>-0.3455411289348329</v>
      </c>
      <c r="H175" s="11" t="n">
        <v>-0.6826792728430566</v>
      </c>
      <c r="I175" s="11" t="n">
        <v>-2.519110108143601E-16</v>
      </c>
      <c r="J175" s="11" t="n">
        <v>-0.7340196201232894</v>
      </c>
      <c r="K175" s="11" t="n">
        <v>1.0570638318257868</v>
      </c>
      <c r="L175" s="11" t="n">
        <v>-0.8831270000147373</v>
      </c>
    </row>
    <row r="176">
      <c r="B176" s="12" t="s">
        <v>43</v>
      </c>
      <c r="C176" s="11" t="n">
        <v>0.028462127141747284</v>
      </c>
      <c r="D176" s="11" t="n">
        <v>-0.027904183262162013</v>
      </c>
      <c r="E176" s="11" t="n">
        <v>-0.05586784081332419</v>
      </c>
      <c r="F176" s="11" t="n">
        <v>-0.023113905264058612</v>
      </c>
      <c r="G176" s="11" t="n">
        <v>0.08112906813817011</v>
      </c>
      <c r="H176" s="11" t="n">
        <v>-0.04576422336463126</v>
      </c>
      <c r="I176" s="11" t="n">
        <v>-2.519110108143601E-16</v>
      </c>
      <c r="J176" s="11" t="n">
        <v>0.4718739516613294</v>
      </c>
      <c r="K176" s="11" t="n">
        <v>0.5501774186837367</v>
      </c>
      <c r="L176" s="11" t="n">
        <v>-1.3713337672912718</v>
      </c>
    </row>
    <row r="177">
      <c r="B177" s="12" t="s">
        <v>44</v>
      </c>
      <c r="C177" s="11" t="n">
        <v>0.011246355063113223</v>
      </c>
      <c r="D177" s="11" t="n">
        <v>-0.011025892448220165</v>
      </c>
      <c r="E177" s="11" t="n">
        <v>-0.34807133143960334</v>
      </c>
      <c r="F177" s="11" t="n">
        <v>0.2415843562102236</v>
      </c>
      <c r="G177" s="11" t="n">
        <v>0.11001739446286965</v>
      </c>
      <c r="H177" s="11" t="n">
        <v>-0.13083312663767033</v>
      </c>
      <c r="I177" s="11" t="n">
        <v>-4.709640636964123E-16</v>
      </c>
      <c r="J177" s="11" t="n">
        <v>-0.15774611790204873</v>
      </c>
      <c r="K177" s="11" t="n">
        <v>-0.05436042343492209</v>
      </c>
      <c r="L177" s="11" t="n">
        <v>0.2541355514782324</v>
      </c>
    </row>
    <row r="178">
      <c r="B178" s="12" t="s">
        <v>45</v>
      </c>
      <c r="C178" s="11" t="n">
        <v>-0.6096435040077374</v>
      </c>
      <c r="D178" s="11" t="n">
        <v>0.5976926452368484</v>
      </c>
      <c r="E178" s="11" t="n">
        <v>-1.7218502857479483</v>
      </c>
      <c r="F178" s="11" t="n">
        <v>0.735663123928748</v>
      </c>
      <c r="G178" s="11" t="n">
        <v>0.5944642441852717</v>
      </c>
      <c r="H178" s="11" t="n">
        <v>0.33594411629467613</v>
      </c>
      <c r="I178" s="11" t="n">
        <v>-3.285795793230791E-17</v>
      </c>
      <c r="J178" s="11" t="n">
        <v>0.9208773589297685</v>
      </c>
      <c r="K178" s="11" t="n">
        <v>-0.6991425384043628</v>
      </c>
      <c r="L178" s="11" t="n">
        <v>0.11924715379652324</v>
      </c>
    </row>
    <row r="179">
      <c r="B179" s="12" t="s">
        <v>46</v>
      </c>
      <c r="C179" s="11" t="n">
        <v>0.0456778992203814</v>
      </c>
      <c r="D179" s="11" t="n">
        <v>-0.04478247407610386</v>
      </c>
      <c r="E179" s="11" t="n">
        <v>-0.05586784081332419</v>
      </c>
      <c r="F179" s="11" t="n">
        <v>-0.023113905264058612</v>
      </c>
      <c r="G179" s="11" t="n">
        <v>0.08112906813817011</v>
      </c>
      <c r="H179" s="11" t="n">
        <v>-0.04576422336463126</v>
      </c>
      <c r="I179" s="11" t="n">
        <v>1.861950949497443E-16</v>
      </c>
      <c r="J179" s="11" t="n">
        <v>0.6261572724401081</v>
      </c>
      <c r="K179" s="11" t="n">
        <v>-0.9925856203288429</v>
      </c>
      <c r="L179" s="11" t="n">
        <v>0.8966158397829082</v>
      </c>
    </row>
    <row r="180">
      <c r="B180" s="12" t="s">
        <v>47</v>
      </c>
      <c r="C180" s="11" t="n">
        <v>-0.5924277319291033</v>
      </c>
      <c r="D180" s="11" t="n">
        <v>0.5808143544229065</v>
      </c>
      <c r="E180" s="11" t="n">
        <v>-0.05586784081332419</v>
      </c>
      <c r="F180" s="11" t="n">
        <v>-0.023113905264058612</v>
      </c>
      <c r="G180" s="11" t="n">
        <v>0.08112906813817011</v>
      </c>
      <c r="H180" s="11" t="n">
        <v>-0.04576422336463126</v>
      </c>
      <c r="I180" s="11" t="n">
        <v>1.861950949497443E-16</v>
      </c>
      <c r="J180" s="11" t="n">
        <v>-0.11756622131799138</v>
      </c>
      <c r="K180" s="11" t="n">
        <v>-0.03670874516522346</v>
      </c>
      <c r="L180" s="11" t="n">
        <v>0.18340360468149808</v>
      </c>
    </row>
    <row r="181">
      <c r="B181" s="12" t="s">
        <v>48</v>
      </c>
      <c r="C181" s="11" t="n">
        <v>0.028462127141747284</v>
      </c>
      <c r="D181" s="11" t="n">
        <v>-0.027904183262162013</v>
      </c>
      <c r="E181" s="11" t="n">
        <v>1.0257076228687412</v>
      </c>
      <c r="F181" s="11" t="n">
        <v>-0.25249441150830065</v>
      </c>
      <c r="G181" s="11" t="n">
        <v>-0.37442945525953253</v>
      </c>
      <c r="H181" s="11" t="n">
        <v>-0.597610369570017</v>
      </c>
      <c r="I181" s="11" t="n">
        <v>1.861950949497443E-16</v>
      </c>
      <c r="J181" s="11" t="n">
        <v>-1.0287397066129498</v>
      </c>
      <c r="K181" s="11" t="n">
        <v>0.7636207499013067</v>
      </c>
      <c r="L181" s="11" t="n">
        <v>-0.10575831402835235</v>
      </c>
    </row>
    <row r="182">
      <c r="B182" s="12" t="s">
        <v>49</v>
      </c>
      <c r="C182" s="11" t="n">
        <v>0.011246355063113223</v>
      </c>
      <c r="D182" s="11" t="n">
        <v>-0.011025892448220165</v>
      </c>
      <c r="E182" s="11" t="n">
        <v>-0.05586784081332419</v>
      </c>
      <c r="F182" s="11" t="n">
        <v>-0.023113905264058612</v>
      </c>
      <c r="G182" s="11" t="n">
        <v>0.08112906813817011</v>
      </c>
      <c r="H182" s="11" t="n">
        <v>-0.04576422336463126</v>
      </c>
      <c r="I182" s="11" t="n">
        <v>-3.285795793230791E-17</v>
      </c>
      <c r="J182" s="11" t="n">
        <v>-0.11756622131799138</v>
      </c>
      <c r="K182" s="11" t="n">
        <v>-0.03670874516522346</v>
      </c>
      <c r="L182" s="11" t="n">
        <v>0.18340360468149808</v>
      </c>
    </row>
    <row r="183">
      <c r="B183" s="12" t="s">
        <v>50</v>
      </c>
      <c r="C183" s="11" t="n">
        <v>0.6665677582912319</v>
      </c>
      <c r="D183" s="11" t="n">
        <v>-0.6535010117611724</v>
      </c>
      <c r="E183" s="11" t="n">
        <v>0.44764066711943307</v>
      </c>
      <c r="F183" s="11" t="n">
        <v>0.5660126435567855</v>
      </c>
      <c r="G183" s="11" t="n">
        <v>-1.0376070884990163</v>
      </c>
      <c r="H183" s="11" t="n">
        <v>0.5108087042004406</v>
      </c>
      <c r="I183" s="11" t="n">
        <v>1.861950949497443E-16</v>
      </c>
      <c r="J183" s="11" t="n">
        <v>-0.11756622131799138</v>
      </c>
      <c r="K183" s="11" t="n">
        <v>-0.03670874516522346</v>
      </c>
      <c r="L183" s="11" t="n">
        <v>0.18340360468149808</v>
      </c>
    </row>
    <row r="184">
      <c r="B184" s="12" t="s">
        <v>51</v>
      </c>
      <c r="C184" s="11" t="n">
        <v>0.0456778992203814</v>
      </c>
      <c r="D184" s="11" t="n">
        <v>-0.04478247407610386</v>
      </c>
      <c r="E184" s="11" t="n">
        <v>-0.05586784081332419</v>
      </c>
      <c r="F184" s="11" t="n">
        <v>-0.023113905264058612</v>
      </c>
      <c r="G184" s="11" t="n">
        <v>0.08112906813817011</v>
      </c>
      <c r="H184" s="11" t="n">
        <v>-0.04576422336463126</v>
      </c>
      <c r="I184" s="11" t="n">
        <v>1.861950949497443E-16</v>
      </c>
      <c r="J184" s="11" t="n">
        <v>0.4718739516613294</v>
      </c>
      <c r="K184" s="11" t="n">
        <v>0.5501774186837367</v>
      </c>
      <c r="L184" s="11" t="n">
        <v>-1.3713337672912718</v>
      </c>
    </row>
    <row r="185">
      <c r="B185" s="12" t="s">
        <v>52</v>
      </c>
      <c r="C185" s="11" t="n">
        <v>0.028462127141747284</v>
      </c>
      <c r="D185" s="11" t="n">
        <v>-0.027904183262162013</v>
      </c>
      <c r="E185" s="11" t="n">
        <v>0.44764066711943307</v>
      </c>
      <c r="F185" s="11" t="n">
        <v>0.5660126435567855</v>
      </c>
      <c r="G185" s="11" t="n">
        <v>-1.0376070884990163</v>
      </c>
      <c r="H185" s="11" t="n">
        <v>0.5108087042004406</v>
      </c>
      <c r="I185" s="11" t="n">
        <v>-3.285795793230791E-17</v>
      </c>
      <c r="J185" s="11" t="n">
        <v>-0.2850162128548502</v>
      </c>
      <c r="K185" s="11" t="n">
        <v>-0.19225612526231275</v>
      </c>
      <c r="L185" s="11" t="n">
        <v>0.6074539210730577</v>
      </c>
    </row>
    <row r="186">
      <c r="B186" s="12" t="s">
        <v>53</v>
      </c>
      <c r="C186" s="11" t="n">
        <v>0.011246355063113223</v>
      </c>
      <c r="D186" s="11" t="n">
        <v>-0.011025892448220165</v>
      </c>
      <c r="E186" s="11" t="n">
        <v>-0.05586784081332419</v>
      </c>
      <c r="F186" s="11" t="n">
        <v>-0.023113905264058612</v>
      </c>
      <c r="G186" s="11" t="n">
        <v>0.08112906813817011</v>
      </c>
      <c r="H186" s="11" t="n">
        <v>-0.04576422336463126</v>
      </c>
      <c r="I186" s="11" t="n">
        <v>-2.519110108143601E-16</v>
      </c>
      <c r="J186" s="11" t="n">
        <v>0.009703873634810234</v>
      </c>
      <c r="K186" s="11" t="n">
        <v>0.10118695666216732</v>
      </c>
      <c r="L186" s="11" t="n">
        <v>-0.16991476491332724</v>
      </c>
    </row>
    <row r="187">
      <c r="B187" s="12" t="s">
        <v>54</v>
      </c>
      <c r="C187" s="11" t="n">
        <v>0.0456778992203814</v>
      </c>
      <c r="D187" s="11" t="n">
        <v>-0.04478247407610386</v>
      </c>
      <c r="E187" s="11" t="n">
        <v>-0.05586784081332419</v>
      </c>
      <c r="F187" s="11" t="n">
        <v>-0.023113905264058612</v>
      </c>
      <c r="G187" s="11" t="n">
        <v>0.08112906813817011</v>
      </c>
      <c r="H187" s="11" t="n">
        <v>-0.04576422336463126</v>
      </c>
      <c r="I187" s="11" t="n">
        <v>1.861950949497443E-16</v>
      </c>
      <c r="J187" s="11" t="n">
        <v>-0.11756622131799138</v>
      </c>
      <c r="K187" s="11" t="n">
        <v>-0.03670874516522346</v>
      </c>
      <c r="L187" s="11" t="n">
        <v>0.18340360468149808</v>
      </c>
    </row>
    <row r="188">
      <c r="B188" s="12" t="s">
        <v>55</v>
      </c>
      <c r="C188" s="11" t="n">
        <v>0.0456778992203814</v>
      </c>
      <c r="D188" s="11" t="n">
        <v>-0.04478247407610386</v>
      </c>
      <c r="E188" s="11" t="n">
        <v>-0.05586784081332419</v>
      </c>
      <c r="F188" s="11" t="n">
        <v>-0.023113905264058612</v>
      </c>
      <c r="G188" s="11" t="n">
        <v>0.08112906813817011</v>
      </c>
      <c r="H188" s="11" t="n">
        <v>-0.04576422336463126</v>
      </c>
      <c r="I188" s="11" t="n">
        <v>1.861950949497443E-16</v>
      </c>
      <c r="J188" s="11" t="n">
        <v>-0.11756622131799138</v>
      </c>
      <c r="K188" s="11" t="n">
        <v>-0.03670874516522346</v>
      </c>
      <c r="L188" s="11" t="n">
        <v>0.18340360468149808</v>
      </c>
    </row>
    <row r="189">
      <c r="B189" s="12" t="s">
        <v>56</v>
      </c>
      <c r="C189" s="11" t="n">
        <v>0.0456778992203814</v>
      </c>
      <c r="D189" s="11" t="n">
        <v>-0.04478247407610386</v>
      </c>
      <c r="E189" s="11" t="n">
        <v>0.3351247994249623</v>
      </c>
      <c r="F189" s="11" t="n">
        <v>-1.0605059327450395</v>
      </c>
      <c r="G189" s="11" t="n">
        <v>0.5296888261184101</v>
      </c>
      <c r="H189" s="11" t="n">
        <v>0.3864348656384135</v>
      </c>
      <c r="I189" s="11" t="n">
        <v>1.861950949497443E-16</v>
      </c>
      <c r="J189" s="11" t="n">
        <v>-0.11756622131799138</v>
      </c>
      <c r="K189" s="11" t="n">
        <v>-0.03670874516522346</v>
      </c>
      <c r="L189" s="11" t="n">
        <v>0.18340360468149808</v>
      </c>
    </row>
    <row r="190">
      <c r="B190" s="12" t="s">
        <v>57</v>
      </c>
      <c r="C190" s="11" t="n">
        <v>0.0456778992203814</v>
      </c>
      <c r="D190" s="11" t="n">
        <v>-0.04478247407610386</v>
      </c>
      <c r="E190" s="11" t="n">
        <v>-1.4296467951216687</v>
      </c>
      <c r="F190" s="11" t="n">
        <v>0.4709648624544656</v>
      </c>
      <c r="G190" s="11" t="n">
        <v>0.5655759178605722</v>
      </c>
      <c r="H190" s="11" t="n">
        <v>0.4210130195677153</v>
      </c>
      <c r="I190" s="11" t="n">
        <v>-3.285795793230791E-17</v>
      </c>
      <c r="J190" s="11" t="n">
        <v>-1.0287397066129498</v>
      </c>
      <c r="K190" s="11" t="n">
        <v>0.7636207499013067</v>
      </c>
      <c r="L190" s="11" t="n">
        <v>-0.10575831402835235</v>
      </c>
    </row>
    <row r="191">
      <c r="B191" s="12" t="s">
        <v>58</v>
      </c>
      <c r="C191" s="11" t="n">
        <v>-0.5924277319291033</v>
      </c>
      <c r="D191" s="11" t="n">
        <v>0.5808143544229065</v>
      </c>
      <c r="E191" s="11" t="n">
        <v>0.13120647469769742</v>
      </c>
      <c r="F191" s="11" t="n">
        <v>0.1957710671518361</v>
      </c>
      <c r="G191" s="11" t="n">
        <v>0.2957469433974138</v>
      </c>
      <c r="H191" s="11" t="n">
        <v>-1.5863823861381334</v>
      </c>
      <c r="I191" s="11" t="n">
        <v>1.861950949497443E-16</v>
      </c>
      <c r="J191" s="11" t="n">
        <v>0.9208773589297685</v>
      </c>
      <c r="K191" s="11" t="n">
        <v>-0.6991425384043628</v>
      </c>
      <c r="L191" s="11" t="n">
        <v>0.11924715379652324</v>
      </c>
    </row>
    <row r="192">
      <c r="B192" s="12" t="s">
        <v>59</v>
      </c>
      <c r="C192" s="11" t="n">
        <v>0.011246355063113223</v>
      </c>
      <c r="D192" s="11" t="n">
        <v>-0.011025892448220165</v>
      </c>
      <c r="E192" s="11" t="n">
        <v>0.8386333073577196</v>
      </c>
      <c r="F192" s="11" t="n">
        <v>-0.47137938392419537</v>
      </c>
      <c r="G192" s="11" t="n">
        <v>-0.5890473305187762</v>
      </c>
      <c r="H192" s="11" t="n">
        <v>0.9430077932034853</v>
      </c>
      <c r="I192" s="11" t="n">
        <v>-4.709640636964123E-16</v>
      </c>
      <c r="J192" s="11" t="n">
        <v>0.009703873634810234</v>
      </c>
      <c r="K192" s="11" t="n">
        <v>0.10118695666216732</v>
      </c>
      <c r="L192" s="11" t="n">
        <v>-0.16991476491332724</v>
      </c>
    </row>
    <row r="193">
      <c r="B193" s="12" t="s">
        <v>60</v>
      </c>
      <c r="C193" s="11" t="n">
        <v>0.6493519862125979</v>
      </c>
      <c r="D193" s="11" t="n">
        <v>-0.6366227209472306</v>
      </c>
      <c r="E193" s="11" t="n">
        <v>0.04292130879868315</v>
      </c>
      <c r="F193" s="11" t="n">
        <v>-0.7958076712707574</v>
      </c>
      <c r="G193" s="11" t="n">
        <v>0.5585771524431096</v>
      </c>
      <c r="H193" s="11" t="n">
        <v>0.30136596236537416</v>
      </c>
      <c r="I193" s="11" t="n">
        <v>-3.285795793230791E-17</v>
      </c>
      <c r="J193" s="11" t="n">
        <v>0.6261572724401081</v>
      </c>
      <c r="K193" s="11" t="n">
        <v>-0.9925856203288429</v>
      </c>
      <c r="L193" s="11" t="n">
        <v>0.8966158397829082</v>
      </c>
    </row>
    <row r="196">
      <c r="B196" s="6" t="s">
        <v>77</v>
      </c>
    </row>
    <row r="198">
      <c r="B198" s="9" t="s">
        <v>5</v>
      </c>
      <c r="C198" s="11" t="s">
        <v>18</v>
      </c>
      <c r="D198" s="11" t="s">
        <v>19</v>
      </c>
      <c r="E198" s="11" t="s">
        <v>20</v>
      </c>
      <c r="F198" s="11" t="s">
        <v>21</v>
      </c>
      <c r="G198" s="11" t="s">
        <v>22</v>
      </c>
      <c r="H198" s="11" t="s">
        <v>23</v>
      </c>
      <c r="I198" s="11" t="s">
        <v>24</v>
      </c>
      <c r="J198" s="11" t="s">
        <v>25</v>
      </c>
      <c r="K198" s="11" t="s">
        <v>26</v>
      </c>
      <c r="L198" s="11" t="s">
        <v>27</v>
      </c>
    </row>
    <row r="199">
      <c r="B199" s="12" t="s">
        <v>18</v>
      </c>
      <c r="C199" s="11" t="n">
        <v>1.0000000000000004</v>
      </c>
      <c r="D199" s="11" t="n">
        <v>-1.0000000000000002</v>
      </c>
      <c r="E199" s="11" t="n">
        <v>0.3408665566840825</v>
      </c>
      <c r="F199" s="11" t="n">
        <v>-0.27173776728023247</v>
      </c>
      <c r="G199" s="11" t="n">
        <v>-0.31606114643554845</v>
      </c>
      <c r="H199" s="11" t="n">
        <v>0.402495802624051</v>
      </c>
      <c r="I199" s="11" t="n">
        <v>-0.05728168100980363</v>
      </c>
      <c r="J199" s="11" t="n">
        <v>-0.23348969895592964</v>
      </c>
      <c r="K199" s="11" t="n">
        <v>0.08327955628126818</v>
      </c>
      <c r="L199" s="11" t="n">
        <v>0.10653315111071053</v>
      </c>
    </row>
    <row r="200">
      <c r="B200" s="12" t="s">
        <v>19</v>
      </c>
      <c r="C200" s="11" t="n">
        <v>-1.0000000000000002</v>
      </c>
      <c r="D200" s="11" t="n">
        <v>1.0</v>
      </c>
      <c r="E200" s="11" t="n">
        <v>-0.3408665566840824</v>
      </c>
      <c r="F200" s="11" t="n">
        <v>0.27173776728023247</v>
      </c>
      <c r="G200" s="11" t="n">
        <v>0.31606114643554833</v>
      </c>
      <c r="H200" s="11" t="n">
        <v>-0.40249580262405116</v>
      </c>
      <c r="I200" s="11" t="n">
        <v>0.05728168100980459</v>
      </c>
      <c r="J200" s="11" t="n">
        <v>0.23348969895592936</v>
      </c>
      <c r="K200" s="11" t="n">
        <v>-0.08327955628126785</v>
      </c>
      <c r="L200" s="11" t="n">
        <v>-0.10653315111071075</v>
      </c>
    </row>
    <row r="201">
      <c r="B201" s="12" t="s">
        <v>20</v>
      </c>
      <c r="C201" s="11" t="n">
        <v>0.3408665566840825</v>
      </c>
      <c r="D201" s="11" t="n">
        <v>-0.3408665566840824</v>
      </c>
      <c r="E201" s="11" t="n">
        <v>1.0</v>
      </c>
      <c r="F201" s="11" t="n">
        <v>-0.47245791968969647</v>
      </c>
      <c r="G201" s="11" t="n">
        <v>-0.6455894261164733</v>
      </c>
      <c r="H201" s="11" t="n">
        <v>-0.16009495963699855</v>
      </c>
      <c r="I201" s="11" t="n">
        <v>1.233639145582943E-4</v>
      </c>
      <c r="J201" s="11" t="n">
        <v>-0.2608787203473566</v>
      </c>
      <c r="K201" s="11" t="n">
        <v>0.22192022042023707</v>
      </c>
      <c r="L201" s="11" t="n">
        <v>-0.06862752598846948</v>
      </c>
    </row>
    <row r="202">
      <c r="B202" s="12" t="s">
        <v>21</v>
      </c>
      <c r="C202" s="11" t="n">
        <v>-0.27173776728023247</v>
      </c>
      <c r="D202" s="11" t="n">
        <v>0.27173776728023247</v>
      </c>
      <c r="E202" s="11" t="n">
        <v>-0.47245791968969647</v>
      </c>
      <c r="F202" s="11" t="n">
        <v>1.0000000000000002</v>
      </c>
      <c r="G202" s="11" t="n">
        <v>-0.27026906560533426</v>
      </c>
      <c r="H202" s="11" t="n">
        <v>-0.059983251391648326</v>
      </c>
      <c r="I202" s="11" t="n">
        <v>-0.02298319151000101</v>
      </c>
      <c r="J202" s="11" t="n">
        <v>-0.009504776856344637</v>
      </c>
      <c r="K202" s="11" t="n">
        <v>0.036329570644751556</v>
      </c>
      <c r="L202" s="11" t="n">
        <v>-0.04362830655396839</v>
      </c>
    </row>
    <row r="203">
      <c r="B203" s="12" t="s">
        <v>22</v>
      </c>
      <c r="C203" s="11" t="n">
        <v>-0.31606114643554845</v>
      </c>
      <c r="D203" s="11" t="n">
        <v>0.31606114643554833</v>
      </c>
      <c r="E203" s="11" t="n">
        <v>-0.6455894261164733</v>
      </c>
      <c r="F203" s="11" t="n">
        <v>-0.27026906560533426</v>
      </c>
      <c r="G203" s="11" t="n">
        <v>0.9999999999999998</v>
      </c>
      <c r="H203" s="11" t="n">
        <v>-0.1827428026803686</v>
      </c>
      <c r="I203" s="11" t="n">
        <v>0.1123154512338577</v>
      </c>
      <c r="J203" s="11" t="n">
        <v>0.33322889698898434</v>
      </c>
      <c r="K203" s="11" t="n">
        <v>-0.2497175902574667</v>
      </c>
      <c r="L203" s="11" t="n">
        <v>0.03851732726727221</v>
      </c>
    </row>
    <row r="204">
      <c r="B204" s="12" t="s">
        <v>23</v>
      </c>
      <c r="C204" s="11" t="n">
        <v>0.402495802624051</v>
      </c>
      <c r="D204" s="11" t="n">
        <v>-0.40249580262405116</v>
      </c>
      <c r="E204" s="11" t="n">
        <v>-0.16009495963699855</v>
      </c>
      <c r="F204" s="11" t="n">
        <v>-0.059983251391648326</v>
      </c>
      <c r="G204" s="11" t="n">
        <v>-0.1827428026803686</v>
      </c>
      <c r="H204" s="11" t="n">
        <v>0.9999999999999998</v>
      </c>
      <c r="I204" s="11" t="n">
        <v>-0.23069483566139484</v>
      </c>
      <c r="J204" s="11" t="n">
        <v>-0.09858156803104534</v>
      </c>
      <c r="K204" s="11" t="n">
        <v>-0.055521911914933275</v>
      </c>
      <c r="L204" s="11" t="n">
        <v>0.17702837334534477</v>
      </c>
    </row>
    <row r="205">
      <c r="B205" s="12" t="s">
        <v>24</v>
      </c>
      <c r="C205" s="11" t="n">
        <v>-0.05728168100980363</v>
      </c>
      <c r="D205" s="11" t="n">
        <v>0.05728168100980459</v>
      </c>
      <c r="E205" s="11" t="n">
        <v>1.233639145582943E-4</v>
      </c>
      <c r="F205" s="11" t="n">
        <v>-0.02298319151000101</v>
      </c>
      <c r="G205" s="11" t="n">
        <v>0.1123154512338577</v>
      </c>
      <c r="H205" s="11" t="n">
        <v>-0.23069483566139484</v>
      </c>
      <c r="I205" s="11" t="n">
        <v>1.0000000000000004</v>
      </c>
      <c r="J205" s="11" t="n">
        <v>0.07643313397376521</v>
      </c>
      <c r="K205" s="11" t="n">
        <v>-0.21785807726119888</v>
      </c>
      <c r="L205" s="11" t="n">
        <v>0.24266433235171525</v>
      </c>
    </row>
    <row r="206">
      <c r="B206" s="12" t="s">
        <v>25</v>
      </c>
      <c r="C206" s="11" t="n">
        <v>-0.23348969895592964</v>
      </c>
      <c r="D206" s="11" t="n">
        <v>0.23348969895592936</v>
      </c>
      <c r="E206" s="11" t="n">
        <v>-0.2608787203473566</v>
      </c>
      <c r="F206" s="11" t="n">
        <v>-0.009504776856344637</v>
      </c>
      <c r="G206" s="11" t="n">
        <v>0.33322889698898434</v>
      </c>
      <c r="H206" s="11" t="n">
        <v>-0.09858156803104534</v>
      </c>
      <c r="I206" s="11" t="n">
        <v>0.07643313397376521</v>
      </c>
      <c r="J206" s="11" t="n">
        <v>0.9999999999999998</v>
      </c>
      <c r="K206" s="11" t="n">
        <v>-0.729319113486447</v>
      </c>
      <c r="L206" s="11" t="n">
        <v>0.08636540945396962</v>
      </c>
    </row>
    <row r="207">
      <c r="B207" s="12" t="s">
        <v>26</v>
      </c>
      <c r="C207" s="11" t="n">
        <v>0.08327955628126818</v>
      </c>
      <c r="D207" s="11" t="n">
        <v>-0.08327955628126785</v>
      </c>
      <c r="E207" s="11" t="n">
        <v>0.22192022042023707</v>
      </c>
      <c r="F207" s="11" t="n">
        <v>0.036329570644751556</v>
      </c>
      <c r="G207" s="11" t="n">
        <v>-0.2497175902574667</v>
      </c>
      <c r="H207" s="11" t="n">
        <v>-0.055521911914933275</v>
      </c>
      <c r="I207" s="11" t="n">
        <v>-0.21785807726119888</v>
      </c>
      <c r="J207" s="11" t="n">
        <v>-0.729319113486447</v>
      </c>
      <c r="K207" s="11" t="n">
        <v>1.0000000000000004</v>
      </c>
      <c r="L207" s="11" t="n">
        <v>-0.7446052322434513</v>
      </c>
    </row>
    <row r="208">
      <c r="B208" s="12" t="s">
        <v>27</v>
      </c>
      <c r="C208" s="11" t="n">
        <v>0.10653315111071053</v>
      </c>
      <c r="D208" s="11" t="n">
        <v>-0.10653315111071075</v>
      </c>
      <c r="E208" s="11" t="n">
        <v>-0.06862752598846948</v>
      </c>
      <c r="F208" s="11" t="n">
        <v>-0.04362830655396839</v>
      </c>
      <c r="G208" s="11" t="n">
        <v>0.03851732726727221</v>
      </c>
      <c r="H208" s="11" t="n">
        <v>0.17702837334534477</v>
      </c>
      <c r="I208" s="11" t="n">
        <v>0.24266433235171525</v>
      </c>
      <c r="J208" s="11" t="n">
        <v>0.08636540945396962</v>
      </c>
      <c r="K208" s="11" t="n">
        <v>-0.7446052322434513</v>
      </c>
      <c r="L208" s="11" t="n">
        <v>1.0</v>
      </c>
    </row>
    <row r="211">
      <c r="B211" s="6" t="s">
        <v>78</v>
      </c>
    </row>
    <row r="213">
      <c r="B213" s="9" t="s">
        <v>5</v>
      </c>
      <c r="C213" s="11" t="s">
        <v>64</v>
      </c>
      <c r="D213" s="11" t="s">
        <v>65</v>
      </c>
      <c r="E213" s="11" t="s">
        <v>66</v>
      </c>
      <c r="F213" s="11" t="s">
        <v>67</v>
      </c>
      <c r="G213" s="11" t="s">
        <v>68</v>
      </c>
      <c r="H213" s="11" t="s">
        <v>69</v>
      </c>
      <c r="I213" s="11" t="s">
        <v>70</v>
      </c>
      <c r="J213" s="11" t="s">
        <v>71</v>
      </c>
      <c r="K213" s="11" t="s">
        <v>72</v>
      </c>
      <c r="L213" s="11" t="s">
        <v>73</v>
      </c>
    </row>
    <row r="214">
      <c r="B214" s="12" t="s">
        <v>18</v>
      </c>
      <c r="C214" s="11" t="n">
        <v>-1.0547118733938987E-16</v>
      </c>
      <c r="D214" s="11" t="n">
        <v>0.028462127141747284</v>
      </c>
      <c r="E214" s="11" t="n">
        <v>-0.6096435040077374</v>
      </c>
      <c r="F214" s="11" t="n">
        <v>0.6665677582912319</v>
      </c>
      <c r="G214" s="11" t="n">
        <v>20.0</v>
      </c>
      <c r="H214" s="11" t="n">
        <v>0.3128840521313498</v>
      </c>
      <c r="I214" s="11" t="n">
        <v>1.6291311758459175</v>
      </c>
      <c r="J214" s="11" t="n">
        <v>-0.12675081047545467</v>
      </c>
      <c r="K214" s="11" t="n">
        <v>0.6180519717564396</v>
      </c>
      <c r="L214" s="11" t="n">
        <v>1.9867436407393197E-7</v>
      </c>
    </row>
    <row r="215">
      <c r="B215" s="12" t="s">
        <v>19</v>
      </c>
      <c r="C215" s="11" t="n">
        <v>1.3877787807814457E-16</v>
      </c>
      <c r="D215" s="11" t="n">
        <v>-0.027904183262162013</v>
      </c>
      <c r="E215" s="11" t="n">
        <v>-0.6535010117611724</v>
      </c>
      <c r="F215" s="11" t="n">
        <v>0.5976926452368484</v>
      </c>
      <c r="G215" s="11" t="n">
        <v>20.0</v>
      </c>
      <c r="H215" s="11" t="n">
        <v>0.30675057724954796</v>
      </c>
      <c r="I215" s="11" t="n">
        <v>1.6291311758459193</v>
      </c>
      <c r="J215" s="11" t="n">
        <v>0.12675081047545472</v>
      </c>
      <c r="K215" s="11" t="n">
        <v>0.6180519717564433</v>
      </c>
      <c r="L215" s="11" t="n">
        <v>1.9867436407391786E-7</v>
      </c>
    </row>
    <row r="216">
      <c r="B216" s="12" t="s">
        <v>20</v>
      </c>
      <c r="C216" s="11" t="n">
        <v>-3.060052211623088E-16</v>
      </c>
      <c r="D216" s="11" t="n">
        <v>-0.05586784081332419</v>
      </c>
      <c r="E216" s="11" t="n">
        <v>-1.7218502857479483</v>
      </c>
      <c r="F216" s="11" t="n">
        <v>1.0257076228687412</v>
      </c>
      <c r="G216" s="11" t="n">
        <v>20.0</v>
      </c>
      <c r="H216" s="11" t="n">
        <v>0.6318007424945544</v>
      </c>
      <c r="I216" s="11" t="n">
        <v>2.58450546187803</v>
      </c>
      <c r="J216" s="11" t="n">
        <v>-1.2426695140079902</v>
      </c>
      <c r="K216" s="11" t="n">
        <v>0.28276079977056295</v>
      </c>
      <c r="L216" s="11" t="n">
        <v>4.3705666924640977E-4</v>
      </c>
    </row>
    <row r="217">
      <c r="B217" s="12" t="s">
        <v>21</v>
      </c>
      <c r="C217" s="11" t="n">
        <v>2.7755575615628914E-16</v>
      </c>
      <c r="D217" s="11" t="n">
        <v>-0.023113905264058612</v>
      </c>
      <c r="E217" s="11" t="n">
        <v>-1.0605059327450395</v>
      </c>
      <c r="F217" s="11" t="n">
        <v>0.735663123928748</v>
      </c>
      <c r="G217" s="11" t="n">
        <v>20.0</v>
      </c>
      <c r="H217" s="11" t="n">
        <v>0.4212677244213234</v>
      </c>
      <c r="I217" s="11" t="n">
        <v>1.1633101798498302</v>
      </c>
      <c r="J217" s="11" t="n">
        <v>-0.6741629956079831</v>
      </c>
      <c r="K217" s="11" t="n">
        <v>0.22773221919019343</v>
      </c>
      <c r="L217" s="11" t="n">
        <v>0.0020646934183796597</v>
      </c>
    </row>
    <row r="218">
      <c r="B218" s="12" t="s">
        <v>22</v>
      </c>
      <c r="C218" s="11" t="n">
        <v>1.6653345369377348E-16</v>
      </c>
      <c r="D218" s="11" t="n">
        <v>0.08112906813817011</v>
      </c>
      <c r="E218" s="11" t="n">
        <v>-1.0376070884990163</v>
      </c>
      <c r="F218" s="11" t="n">
        <v>0.5944642441852717</v>
      </c>
      <c r="G218" s="11" t="n">
        <v>20.0</v>
      </c>
      <c r="H218" s="11" t="n">
        <v>0.45741008644652703</v>
      </c>
      <c r="I218" s="11" t="n">
        <v>0.756118728359092</v>
      </c>
      <c r="J218" s="11" t="n">
        <v>-1.0108116067143222</v>
      </c>
      <c r="K218" s="11" t="n">
        <v>0.26908552020581034</v>
      </c>
      <c r="L218" s="11" t="n">
        <v>6.379739211179766E-4</v>
      </c>
    </row>
    <row r="219">
      <c r="B219" s="12" t="s">
        <v>23</v>
      </c>
      <c r="C219" s="11" t="n">
        <v>-6.550315845288424E-16</v>
      </c>
      <c r="D219" s="11" t="n">
        <v>-0.04576422336463126</v>
      </c>
      <c r="E219" s="11" t="n">
        <v>-1.5863823861381334</v>
      </c>
      <c r="F219" s="11" t="n">
        <v>0.9430077932034853</v>
      </c>
      <c r="G219" s="11" t="n">
        <v>20.0</v>
      </c>
      <c r="H219" s="11" t="n">
        <v>0.5156133883983256</v>
      </c>
      <c r="I219" s="11" t="n">
        <v>3.5449630420719265</v>
      </c>
      <c r="J219" s="11" t="n">
        <v>-1.2736298548196767</v>
      </c>
      <c r="K219" s="11" t="n">
        <v>0.23192361492881564</v>
      </c>
      <c r="L219" s="11" t="n">
        <v>0.0018291394583587377</v>
      </c>
    </row>
    <row r="220">
      <c r="B220" s="12" t="s">
        <v>24</v>
      </c>
      <c r="C220" s="11" t="n">
        <v>-7.518830502887768E-32</v>
      </c>
      <c r="D220" s="11" t="n">
        <v>7.66685685087182E-17</v>
      </c>
      <c r="E220" s="11" t="n">
        <v>-4.709640636964123E-16</v>
      </c>
      <c r="F220" s="11" t="n">
        <v>1.861950949497443E-16</v>
      </c>
      <c r="G220" s="11" t="n">
        <v>20.0</v>
      </c>
      <c r="H220" s="11" t="n">
        <v>2.2204460492503128E-16</v>
      </c>
      <c r="I220" s="11" t="n">
        <v>-0.25367235710950276</v>
      </c>
      <c r="J220" s="11" t="n">
        <v>-0.9521896899010022</v>
      </c>
      <c r="K220" s="11" t="n">
        <v>0.296439865637573</v>
      </c>
      <c r="L220" s="11" t="n">
        <v>3.0089704956068526E-4</v>
      </c>
    </row>
    <row r="221">
      <c r="B221" s="12" t="s">
        <v>25</v>
      </c>
      <c r="C221" s="11" t="n">
        <v>2.55351295663786E-16</v>
      </c>
      <c r="D221" s="11" t="n">
        <v>-0.11756622131799138</v>
      </c>
      <c r="E221" s="11" t="n">
        <v>-1.0287397066129498</v>
      </c>
      <c r="F221" s="11" t="n">
        <v>0.9208773589297685</v>
      </c>
      <c r="G221" s="11" t="n">
        <v>20.0</v>
      </c>
      <c r="H221" s="11" t="n">
        <v>0.5377713653401676</v>
      </c>
      <c r="I221" s="11" t="n">
        <v>-0.12198576476998513</v>
      </c>
      <c r="J221" s="11" t="n">
        <v>-0.12130292403207585</v>
      </c>
      <c r="K221" s="11" t="n">
        <v>0.1740574833288673</v>
      </c>
      <c r="L221" s="11" t="n">
        <v>0.010156524297315624</v>
      </c>
    </row>
    <row r="222">
      <c r="B222" s="12" t="s">
        <v>26</v>
      </c>
      <c r="C222" s="11" t="n">
        <v>-1.27675647831893E-16</v>
      </c>
      <c r="D222" s="11" t="n">
        <v>-0.03670874516522346</v>
      </c>
      <c r="E222" s="11" t="n">
        <v>-0.9925856203288429</v>
      </c>
      <c r="F222" s="11" t="n">
        <v>1.0570638318257868</v>
      </c>
      <c r="G222" s="11" t="n">
        <v>20.0</v>
      </c>
      <c r="H222" s="11" t="n">
        <v>0.5434559977996518</v>
      </c>
      <c r="I222" s="11" t="n">
        <v>-0.1514391292288022</v>
      </c>
      <c r="J222" s="11" t="n">
        <v>-0.08099648309526891</v>
      </c>
      <c r="K222" s="11" t="n">
        <v>0.17567849803560465</v>
      </c>
      <c r="L222" s="11" t="n">
        <v>0.009668420233545146</v>
      </c>
    </row>
    <row r="223">
      <c r="B223" s="12" t="s">
        <v>27</v>
      </c>
      <c r="C223" s="11" t="n">
        <v>-2.7755575615628914E-17</v>
      </c>
      <c r="D223" s="11" t="n">
        <v>0.18340360468149808</v>
      </c>
      <c r="E223" s="11" t="n">
        <v>-1.3713337672912718</v>
      </c>
      <c r="F223" s="11" t="n">
        <v>0.8966158397829082</v>
      </c>
      <c r="G223" s="11" t="n">
        <v>20.0</v>
      </c>
      <c r="H223" s="11" t="n">
        <v>0.5884921670389771</v>
      </c>
      <c r="I223" s="11" t="n">
        <v>1.420570168245752</v>
      </c>
      <c r="J223" s="11" t="n">
        <v>-1.0972599654753106</v>
      </c>
      <c r="K223" s="11" t="n">
        <v>0.2806924338006822</v>
      </c>
      <c r="L223" s="11" t="n">
        <v>4.6263880285852074E-4</v>
      </c>
    </row>
    <row r="226">
      <c r="B226" s="6" t="s">
        <v>79</v>
      </c>
    </row>
    <row r="228">
      <c r="B228" s="9" t="s">
        <v>5</v>
      </c>
      <c r="C228" s="11" t="s">
        <v>6</v>
      </c>
    </row>
    <row r="229">
      <c r="B229" s="12" t="s">
        <v>41</v>
      </c>
      <c r="C229" s="11" t="n">
        <v>-0.7747812388768731</v>
      </c>
    </row>
    <row r="230">
      <c r="B230" s="12" t="s">
        <v>42</v>
      </c>
      <c r="C230" s="11" t="n">
        <v>1.54702144424447</v>
      </c>
    </row>
    <row r="231">
      <c r="B231" s="12" t="s">
        <v>43</v>
      </c>
      <c r="C231" s="11" t="n">
        <v>0.4671587897767215</v>
      </c>
    </row>
    <row r="232">
      <c r="B232" s="12" t="s">
        <v>44</v>
      </c>
      <c r="C232" s="11" t="n">
        <v>0.0014505217276647997</v>
      </c>
    </row>
    <row r="233">
      <c r="B233" s="12" t="s">
        <v>45</v>
      </c>
      <c r="C233" s="11" t="n">
        <v>-0.9241121915041725</v>
      </c>
    </row>
    <row r="234">
      <c r="B234" s="12" t="s">
        <v>46</v>
      </c>
      <c r="C234" s="11" t="n">
        <v>0.656974290975802</v>
      </c>
    </row>
    <row r="235">
      <c r="B235" s="12" t="s">
        <v>47</v>
      </c>
      <c r="C235" s="11" t="n">
        <v>-0.12106937641476573</v>
      </c>
    </row>
    <row r="236">
      <c r="B236" s="12" t="s">
        <v>48</v>
      </c>
      <c r="C236" s="11" t="n">
        <v>-0.7755373201690983</v>
      </c>
    </row>
    <row r="237">
      <c r="B237" s="12" t="s">
        <v>49</v>
      </c>
      <c r="C237" s="11" t="n">
        <v>-1.5126616335008034</v>
      </c>
    </row>
    <row r="238">
      <c r="B238" s="12" t="s">
        <v>50</v>
      </c>
      <c r="C238" s="11" t="n">
        <v>-0.1786080033527213</v>
      </c>
    </row>
    <row r="239">
      <c r="B239" s="12" t="s">
        <v>51</v>
      </c>
      <c r="C239" s="11" t="n">
        <v>0.6319231577940752</v>
      </c>
    </row>
    <row r="240">
      <c r="B240" s="12" t="s">
        <v>52</v>
      </c>
      <c r="C240" s="11" t="n">
        <v>-0.011501629491840637</v>
      </c>
    </row>
    <row r="241">
      <c r="B241" s="12" t="s">
        <v>53</v>
      </c>
      <c r="C241" s="11" t="n">
        <v>-0.6404167131513027</v>
      </c>
    </row>
    <row r="242">
      <c r="B242" s="12" t="s">
        <v>54</v>
      </c>
      <c r="C242" s="11" t="n">
        <v>0.5362151823536339</v>
      </c>
    </row>
    <row r="243">
      <c r="B243" s="12" t="s">
        <v>55</v>
      </c>
      <c r="C243" s="11" t="n">
        <v>0.5362151823536339</v>
      </c>
    </row>
    <row r="244">
      <c r="B244" s="12" t="s">
        <v>56</v>
      </c>
      <c r="C244" s="11" t="n">
        <v>0.48876002072821256</v>
      </c>
    </row>
    <row r="245">
      <c r="B245" s="12" t="s">
        <v>57</v>
      </c>
      <c r="C245" s="11" t="n">
        <v>1.1885951873031935</v>
      </c>
    </row>
    <row r="246">
      <c r="B246" s="12" t="s">
        <v>58</v>
      </c>
      <c r="C246" s="11" t="n">
        <v>0.024838326104531627</v>
      </c>
    </row>
    <row r="247">
      <c r="B247" s="12" t="s">
        <v>59</v>
      </c>
      <c r="C247" s="11" t="n">
        <v>-0.1758671714143949</v>
      </c>
    </row>
    <row r="248">
      <c r="B248" s="12" t="s">
        <v>60</v>
      </c>
      <c r="C248" s="11" t="n">
        <v>-0.9645968254859699</v>
      </c>
    </row>
    <row r="251">
      <c r="B251" s="6" t="s">
        <v>80</v>
      </c>
    </row>
    <row r="253">
      <c r="B253" s="9" t="s">
        <v>5</v>
      </c>
      <c r="C253" s="11" t="s">
        <v>6</v>
      </c>
    </row>
    <row r="254">
      <c r="B254" s="12" t="s">
        <v>6</v>
      </c>
      <c r="C254" s="11" t="n">
        <v>1.0000000000000004</v>
      </c>
    </row>
    <row r="257">
      <c r="B257" s="6" t="s">
        <v>81</v>
      </c>
    </row>
    <row r="259">
      <c r="B259" s="9" t="s">
        <v>5</v>
      </c>
      <c r="C259" s="11" t="s">
        <v>64</v>
      </c>
      <c r="D259" s="11" t="s">
        <v>65</v>
      </c>
      <c r="E259" s="11" t="s">
        <v>66</v>
      </c>
      <c r="F259" s="11" t="s">
        <v>67</v>
      </c>
      <c r="G259" s="11" t="s">
        <v>68</v>
      </c>
      <c r="H259" s="11" t="s">
        <v>69</v>
      </c>
      <c r="I259" s="11" t="s">
        <v>70</v>
      </c>
      <c r="J259" s="11" t="s">
        <v>71</v>
      </c>
      <c r="K259" s="11" t="s">
        <v>72</v>
      </c>
      <c r="L259" s="11" t="s">
        <v>73</v>
      </c>
    </row>
    <row r="260">
      <c r="B260" s="12" t="s">
        <v>6</v>
      </c>
      <c r="C260" s="11" t="n">
        <v>-1.7208456881689927E-16</v>
      </c>
      <c r="D260" s="11" t="n">
        <v>-0.005025553882087919</v>
      </c>
      <c r="E260" s="11" t="n">
        <v>-1.5126616335008034</v>
      </c>
      <c r="F260" s="11" t="n">
        <v>1.54702144424447</v>
      </c>
      <c r="G260" s="11" t="n">
        <v>20.0</v>
      </c>
      <c r="H260" s="11" t="n">
        <v>0.7560372204740713</v>
      </c>
      <c r="I260" s="11" t="n">
        <v>-0.3339524062076009</v>
      </c>
      <c r="J260" s="11" t="n">
        <v>0.011232389157853106</v>
      </c>
      <c r="K260" s="11" t="n">
        <v>0.05208901590810284</v>
      </c>
      <c r="L260" s="11" t="n">
        <v>0.4624726803451146</v>
      </c>
    </row>
    <row r="263">
      <c r="B263" s="8" t="s">
        <v>82</v>
      </c>
    </row>
    <row r="265">
      <c r="B265" s="6" t="s">
        <v>83</v>
      </c>
    </row>
    <row r="267">
      <c r="B267" s="6" t="s">
        <v>84</v>
      </c>
    </row>
    <row r="269">
      <c r="B269" s="9" t="s">
        <v>5</v>
      </c>
      <c r="C269" s="11" t="s">
        <v>83</v>
      </c>
      <c r="D269" s="11" t="s">
        <v>85</v>
      </c>
    </row>
    <row r="270">
      <c r="B270" s="12" t="s">
        <v>6</v>
      </c>
      <c r="C270" s="11" t="n">
        <v>0.42840772125783944</v>
      </c>
      <c r="D270" s="11" t="n">
        <v>0.3212341689936843</v>
      </c>
    </row>
    <row r="273">
      <c r="B273" s="6" t="s">
        <v>86</v>
      </c>
    </row>
    <row r="275">
      <c r="B275" s="6" t="s">
        <v>4</v>
      </c>
    </row>
    <row r="277">
      <c r="B277" s="9" t="s">
        <v>5</v>
      </c>
      <c r="C277" s="11" t="s">
        <v>6</v>
      </c>
      <c r="D277" s="11" t="s">
        <v>7</v>
      </c>
      <c r="E277" s="11" t="s">
        <v>8</v>
      </c>
      <c r="F277" s="11" t="s">
        <v>9</v>
      </c>
    </row>
    <row r="278">
      <c r="B278" s="12" t="s">
        <v>6</v>
      </c>
      <c r="C278" s="12" t="s">
        <v>5</v>
      </c>
      <c r="D278" s="12" t="s">
        <v>5</v>
      </c>
      <c r="E278" s="12" t="s">
        <v>5</v>
      </c>
      <c r="F278" s="12" t="s">
        <v>5</v>
      </c>
    </row>
    <row r="279">
      <c r="B279" s="12" t="s">
        <v>7</v>
      </c>
      <c r="C279" s="14" t="n">
        <v>0.01212966865286526</v>
      </c>
      <c r="D279" s="12" t="s">
        <v>5</v>
      </c>
      <c r="E279" s="12" t="s">
        <v>5</v>
      </c>
      <c r="F279" s="12" t="s">
        <v>5</v>
      </c>
    </row>
    <row r="280">
      <c r="B280" s="12" t="s">
        <v>8</v>
      </c>
      <c r="C280" s="13" t="n">
        <v>0.2274883780328846</v>
      </c>
      <c r="D280" s="12" t="s">
        <v>5</v>
      </c>
      <c r="E280" s="12" t="s">
        <v>5</v>
      </c>
      <c r="F280" s="12" t="s">
        <v>5</v>
      </c>
    </row>
    <row r="281">
      <c r="B281" s="12" t="s">
        <v>9</v>
      </c>
      <c r="C281" s="14" t="n">
        <v>0.012847459955268776</v>
      </c>
      <c r="D281" s="12" t="s">
        <v>5</v>
      </c>
      <c r="E281" s="12" t="s">
        <v>5</v>
      </c>
      <c r="F281" s="12" t="s">
        <v>5</v>
      </c>
    </row>
    <row r="284">
      <c r="B284" s="6" t="s">
        <v>10</v>
      </c>
    </row>
    <row r="286">
      <c r="B286" s="9" t="s">
        <v>5</v>
      </c>
      <c r="C286" s="11" t="s">
        <v>86</v>
      </c>
    </row>
    <row r="287">
      <c r="B287" s="12" t="s">
        <v>11</v>
      </c>
      <c r="C287" s="14" t="n">
        <v>0.01212966865286526</v>
      </c>
    </row>
    <row r="288">
      <c r="B288" s="12" t="s">
        <v>12</v>
      </c>
      <c r="C288" s="13" t="n">
        <v>0.2274883780328846</v>
      </c>
    </row>
    <row r="289">
      <c r="B289" s="12" t="s">
        <v>13</v>
      </c>
      <c r="C289" s="14" t="n">
        <v>0.012847459955268776</v>
      </c>
    </row>
    <row r="292">
      <c r="B292" s="6" t="s">
        <v>87</v>
      </c>
    </row>
    <row r="294">
      <c r="B294" s="6" t="s">
        <v>84</v>
      </c>
    </row>
    <row r="296">
      <c r="B296" s="9" t="s">
        <v>5</v>
      </c>
      <c r="C296" s="11" t="s">
        <v>88</v>
      </c>
      <c r="D296" s="11" t="s">
        <v>89</v>
      </c>
      <c r="E296" s="11" t="s">
        <v>90</v>
      </c>
      <c r="F296" s="11" t="s">
        <v>91</v>
      </c>
    </row>
    <row r="297">
      <c r="B297" s="12" t="s">
        <v>6</v>
      </c>
      <c r="C297" s="13" t="n">
        <v>0.8938202785372326</v>
      </c>
      <c r="D297" s="13" t="n">
        <v>0.8940737434692367</v>
      </c>
      <c r="E297" s="13" t="n">
        <v>0.949581890165758</v>
      </c>
      <c r="F297" s="13" t="n">
        <v>0.9040038266394677</v>
      </c>
    </row>
    <row r="298">
      <c r="B298" s="12" t="s">
        <v>7</v>
      </c>
      <c r="C298" s="13" t="n">
        <v>0.8835869979522238</v>
      </c>
      <c r="D298" s="13" t="n">
        <v>0.915507480266147</v>
      </c>
      <c r="E298" s="13" t="n">
        <v>0.9178593763157197</v>
      </c>
      <c r="F298" s="13" t="n">
        <v>0.7370700431663973</v>
      </c>
    </row>
    <row r="299">
      <c r="B299" s="12" t="s">
        <v>9</v>
      </c>
      <c r="C299" s="13" t="n">
        <v>0.7843732390318525</v>
      </c>
      <c r="D299" s="13" t="n">
        <v>0.822998044075749</v>
      </c>
      <c r="E299" s="13" t="n">
        <v>0.869555474097627</v>
      </c>
      <c r="F299" s="13" t="n">
        <v>0.6897115021365084</v>
      </c>
    </row>
    <row r="302">
      <c r="B302" s="6" t="s">
        <v>92</v>
      </c>
    </row>
    <row r="304">
      <c r="B304" s="6" t="s">
        <v>93</v>
      </c>
    </row>
    <row r="306">
      <c r="B306" s="9" t="s">
        <v>5</v>
      </c>
      <c r="C306" s="11" t="s">
        <v>6</v>
      </c>
      <c r="D306" s="11" t="s">
        <v>7</v>
      </c>
      <c r="E306" s="11" t="s">
        <v>8</v>
      </c>
      <c r="F306" s="11" t="s">
        <v>9</v>
      </c>
    </row>
    <row r="307">
      <c r="B307" s="12" t="s">
        <v>6</v>
      </c>
      <c r="C307" s="12" t="s">
        <v>5</v>
      </c>
      <c r="D307" s="12" t="s">
        <v>5</v>
      </c>
      <c r="E307" s="12" t="s">
        <v>5</v>
      </c>
      <c r="F307" s="12" t="s">
        <v>5</v>
      </c>
    </row>
    <row r="308">
      <c r="B308" s="12" t="s">
        <v>7</v>
      </c>
      <c r="C308" s="13" t="n">
        <v>0.2283276189631268</v>
      </c>
      <c r="D308" s="12" t="s">
        <v>5</v>
      </c>
      <c r="E308" s="12" t="s">
        <v>5</v>
      </c>
      <c r="F308" s="12" t="s">
        <v>5</v>
      </c>
    </row>
    <row r="309">
      <c r="B309" s="12" t="s">
        <v>8</v>
      </c>
      <c r="C309" s="13" t="n">
        <v>0.682010849979656</v>
      </c>
      <c r="D309" s="13" t="n">
        <v>0.44812089612836237</v>
      </c>
      <c r="E309" s="12" t="s">
        <v>5</v>
      </c>
      <c r="F309" s="12" t="s">
        <v>5</v>
      </c>
    </row>
    <row r="310">
      <c r="B310" s="12" t="s">
        <v>9</v>
      </c>
      <c r="C310" s="13" t="n">
        <v>0.6215924279195494</v>
      </c>
      <c r="D310" s="13" t="n">
        <v>0.5148522340447981</v>
      </c>
      <c r="E310" s="11" t="n">
        <v>0.8976710531969434</v>
      </c>
      <c r="F310" s="12" t="s">
        <v>5</v>
      </c>
    </row>
    <row r="313">
      <c r="B313" s="6" t="s">
        <v>94</v>
      </c>
    </row>
    <row r="315">
      <c r="B315" s="9" t="s">
        <v>5</v>
      </c>
      <c r="C315" s="11" t="s">
        <v>95</v>
      </c>
    </row>
    <row r="316">
      <c r="B316" s="12" t="s">
        <v>96</v>
      </c>
      <c r="C316" s="13" t="n">
        <v>0.2283276189631268</v>
      </c>
    </row>
    <row r="317">
      <c r="B317" s="12" t="s">
        <v>97</v>
      </c>
      <c r="C317" s="13" t="n">
        <v>0.682010849979656</v>
      </c>
    </row>
    <row r="318">
      <c r="B318" s="12" t="s">
        <v>98</v>
      </c>
      <c r="C318" s="13" t="n">
        <v>0.44812089612836237</v>
      </c>
    </row>
    <row r="319">
      <c r="B319" s="12" t="s">
        <v>99</v>
      </c>
      <c r="C319" s="13" t="n">
        <v>0.6215924279195494</v>
      </c>
    </row>
    <row r="320">
      <c r="B320" s="12" t="s">
        <v>100</v>
      </c>
      <c r="C320" s="13" t="n">
        <v>0.5148522340447981</v>
      </c>
    </row>
    <row r="321">
      <c r="B321" s="12" t="s">
        <v>101</v>
      </c>
      <c r="C321" s="11" t="n">
        <v>0.8976710531969434</v>
      </c>
    </row>
    <row r="324">
      <c r="B324" s="6" t="s">
        <v>102</v>
      </c>
    </row>
    <row r="326">
      <c r="B326" s="9" t="s">
        <v>5</v>
      </c>
      <c r="C326" s="11" t="s">
        <v>6</v>
      </c>
      <c r="D326" s="11" t="s">
        <v>7</v>
      </c>
      <c r="E326" s="11" t="s">
        <v>8</v>
      </c>
      <c r="F326" s="11" t="s">
        <v>9</v>
      </c>
    </row>
    <row r="327">
      <c r="B327" s="12" t="s">
        <v>6</v>
      </c>
      <c r="C327" s="11" t="n">
        <v>0.9507911582674019</v>
      </c>
      <c r="D327" s="12" t="s">
        <v>5</v>
      </c>
      <c r="E327" s="12" t="s">
        <v>5</v>
      </c>
      <c r="F327" s="12" t="s">
        <v>5</v>
      </c>
    </row>
    <row r="328">
      <c r="B328" s="12" t="s">
        <v>7</v>
      </c>
      <c r="C328" s="11" t="n">
        <v>0.2236812135710835</v>
      </c>
      <c r="D328" s="11" t="n">
        <v>0.8585278348233081</v>
      </c>
      <c r="E328" s="12" t="s">
        <v>5</v>
      </c>
      <c r="F328" s="12" t="s">
        <v>5</v>
      </c>
    </row>
    <row r="329">
      <c r="B329" s="12" t="s">
        <v>8</v>
      </c>
      <c r="C329" s="11" t="n">
        <v>0.6449752812893715</v>
      </c>
      <c r="D329" s="11" t="n">
        <v>0.44564583450283807</v>
      </c>
      <c r="E329" s="11" t="n">
        <v>1.0</v>
      </c>
      <c r="F329" s="12" t="s">
        <v>5</v>
      </c>
    </row>
    <row r="330">
      <c r="B330" s="12" t="s">
        <v>9</v>
      </c>
      <c r="C330" s="11" t="n">
        <v>0.5460995856765363</v>
      </c>
      <c r="D330" s="11" t="n">
        <v>0.43000454979006786</v>
      </c>
      <c r="E330" s="11" t="n">
        <v>0.7740179633427233</v>
      </c>
      <c r="F330" s="11" t="n">
        <v>0.8304887128290838</v>
      </c>
    </row>
    <row r="333">
      <c r="B333" s="6" t="s">
        <v>103</v>
      </c>
    </row>
    <row r="335">
      <c r="B335" s="9" t="s">
        <v>5</v>
      </c>
      <c r="C335" s="11" t="s">
        <v>6</v>
      </c>
      <c r="D335" s="11" t="s">
        <v>7</v>
      </c>
      <c r="E335" s="11" t="s">
        <v>8</v>
      </c>
      <c r="F335" s="11" t="s">
        <v>9</v>
      </c>
    </row>
    <row r="336">
      <c r="B336" s="12" t="s">
        <v>18</v>
      </c>
      <c r="C336" s="11" t="n">
        <v>0.949791329672927</v>
      </c>
      <c r="D336" s="11" t="n">
        <v>0.1796625950112909</v>
      </c>
      <c r="E336" s="11" t="n">
        <v>0.5946694055547592</v>
      </c>
      <c r="F336" s="11" t="n">
        <v>0.5456227330162996</v>
      </c>
    </row>
    <row r="337">
      <c r="B337" s="12" t="s">
        <v>19</v>
      </c>
      <c r="C337" s="11" t="n">
        <v>0.951789936570601</v>
      </c>
      <c r="D337" s="11" t="n">
        <v>0.24504266854736897</v>
      </c>
      <c r="E337" s="11" t="n">
        <v>0.631452170783598</v>
      </c>
      <c r="F337" s="11" t="n">
        <v>0.49335815498972774</v>
      </c>
    </row>
    <row r="338">
      <c r="B338" s="12" t="s">
        <v>20</v>
      </c>
      <c r="C338" s="11" t="n">
        <v>0.18259527200797263</v>
      </c>
      <c r="D338" s="11" t="n">
        <v>0.7751308417185645</v>
      </c>
      <c r="E338" s="11" t="n">
        <v>0.3455117722193716</v>
      </c>
      <c r="F338" s="11" t="n">
        <v>0.3505850487476413</v>
      </c>
    </row>
    <row r="339">
      <c r="B339" s="12" t="s">
        <v>21</v>
      </c>
      <c r="C339" s="11" t="n">
        <v>0.20313248082958277</v>
      </c>
      <c r="D339" s="11" t="n">
        <v>0.9069363287248342</v>
      </c>
      <c r="E339" s="11" t="n">
        <v>0.39449032026816155</v>
      </c>
      <c r="F339" s="11" t="n">
        <v>0.31266292058434814</v>
      </c>
    </row>
    <row r="340">
      <c r="B340" s="12" t="s">
        <v>22</v>
      </c>
      <c r="C340" s="11" t="n">
        <v>0.23051462684702104</v>
      </c>
      <c r="D340" s="11" t="n">
        <v>0.8892558758967978</v>
      </c>
      <c r="E340" s="11" t="n">
        <v>0.44766739715874</v>
      </c>
      <c r="F340" s="11" t="n">
        <v>0.43567701524916147</v>
      </c>
    </row>
    <row r="341">
      <c r="B341" s="12" t="s">
        <v>23</v>
      </c>
      <c r="C341" s="11" t="n">
        <v>0.08314460770936767</v>
      </c>
      <c r="D341" s="11" t="n">
        <v>0.8568213546033957</v>
      </c>
      <c r="E341" s="11" t="n">
        <v>0.2628895216907152</v>
      </c>
      <c r="F341" s="11" t="n">
        <v>0.3716579418299325</v>
      </c>
    </row>
    <row r="342">
      <c r="B342" s="12" t="s">
        <v>24</v>
      </c>
      <c r="C342" s="11" t="n">
        <v>0.6449752812893713</v>
      </c>
      <c r="D342" s="11" t="n">
        <v>0.4456458345028378</v>
      </c>
      <c r="E342" s="11" t="n">
        <v>1.0</v>
      </c>
      <c r="F342" s="11" t="n">
        <v>0.7740179633427229</v>
      </c>
    </row>
    <row r="343">
      <c r="B343" s="12" t="s">
        <v>25</v>
      </c>
      <c r="C343" s="11" t="n">
        <v>0.3821565820893045</v>
      </c>
      <c r="D343" s="11" t="n">
        <v>0.41346454178591896</v>
      </c>
      <c r="E343" s="11" t="n">
        <v>0.693670911201477</v>
      </c>
      <c r="F343" s="11" t="n">
        <v>0.8430907179065441</v>
      </c>
    </row>
    <row r="344">
      <c r="B344" s="12" t="s">
        <v>26</v>
      </c>
      <c r="C344" s="11" t="n">
        <v>0.5644094543939646</v>
      </c>
      <c r="D344" s="11" t="n">
        <v>0.33501583338584273</v>
      </c>
      <c r="E344" s="11" t="n">
        <v>0.5313435461603737</v>
      </c>
      <c r="F344" s="11" t="n">
        <v>0.8394376560862545</v>
      </c>
    </row>
    <row r="345">
      <c r="B345" s="12" t="s">
        <v>27</v>
      </c>
      <c r="C345" s="11" t="n">
        <v>0.3579399013931086</v>
      </c>
      <c r="D345" s="11" t="n">
        <v>0.33419506091594464</v>
      </c>
      <c r="E345" s="11" t="n">
        <v>0.7686018411957587</v>
      </c>
      <c r="F345" s="11" t="n">
        <v>0.8085029185684915</v>
      </c>
    </row>
    <row r="348">
      <c r="B348" s="6" t="s">
        <v>104</v>
      </c>
    </row>
    <row r="350">
      <c r="B350" s="6" t="s">
        <v>105</v>
      </c>
    </row>
    <row r="352">
      <c r="B352" s="9" t="s">
        <v>5</v>
      </c>
      <c r="C352" s="11" t="s">
        <v>106</v>
      </c>
    </row>
    <row r="353">
      <c r="B353" s="12" t="s">
        <v>18</v>
      </c>
      <c r="C353" s="13" t="n">
        <v>2.881043478260865</v>
      </c>
    </row>
    <row r="354">
      <c r="B354" s="12" t="s">
        <v>19</v>
      </c>
      <c r="C354" s="13" t="n">
        <v>2.8810434782608643</v>
      </c>
    </row>
    <row r="355">
      <c r="B355" s="12" t="s">
        <v>20</v>
      </c>
      <c r="C355" s="13" t="n">
        <v>1.6767946577629385</v>
      </c>
    </row>
    <row r="356">
      <c r="B356" s="12" t="s">
        <v>21</v>
      </c>
      <c r="C356" s="11" t="n">
        <v>3.14520033388982</v>
      </c>
    </row>
    <row r="357">
      <c r="B357" s="12" t="s">
        <v>22</v>
      </c>
      <c r="C357" s="13" t="n">
        <v>2.6178526711185293</v>
      </c>
    </row>
    <row r="358">
      <c r="B358" s="12" t="s">
        <v>23</v>
      </c>
      <c r="C358" s="13" t="n">
        <v>2.9811247913188645</v>
      </c>
    </row>
    <row r="359">
      <c r="B359" s="12" t="s">
        <v>24</v>
      </c>
      <c r="C359" s="13" t="n">
        <v>0.9999999999999996</v>
      </c>
    </row>
    <row r="360">
      <c r="B360" s="12" t="s">
        <v>25</v>
      </c>
      <c r="C360" s="13" t="n">
        <v>2.1922716248989493</v>
      </c>
    </row>
    <row r="361">
      <c r="B361" s="12" t="s">
        <v>26</v>
      </c>
      <c r="C361" s="13" t="n">
        <v>1.3529183508488274</v>
      </c>
    </row>
    <row r="362">
      <c r="B362" s="12" t="s">
        <v>27</v>
      </c>
      <c r="C362" s="13" t="n">
        <v>2.054842360549719</v>
      </c>
    </row>
    <row r="365">
      <c r="B365" s="6" t="s">
        <v>107</v>
      </c>
    </row>
    <row r="367">
      <c r="B367" s="9" t="s">
        <v>5</v>
      </c>
      <c r="C367" s="11" t="s">
        <v>6</v>
      </c>
      <c r="D367" s="11" t="s">
        <v>7</v>
      </c>
      <c r="E367" s="11" t="s">
        <v>8</v>
      </c>
      <c r="F367" s="11" t="s">
        <v>9</v>
      </c>
    </row>
    <row r="368">
      <c r="B368" s="12" t="s">
        <v>6</v>
      </c>
      <c r="C368" s="12" t="s">
        <v>5</v>
      </c>
      <c r="D368" s="12" t="s">
        <v>5</v>
      </c>
      <c r="E368" s="12" t="s">
        <v>5</v>
      </c>
      <c r="F368" s="12" t="s">
        <v>5</v>
      </c>
    </row>
    <row r="369">
      <c r="B369" s="12" t="s">
        <v>7</v>
      </c>
      <c r="C369" s="13" t="n">
        <v>1.2765695834035893</v>
      </c>
      <c r="D369" s="12" t="s">
        <v>5</v>
      </c>
      <c r="E369" s="12" t="s">
        <v>5</v>
      </c>
      <c r="F369" s="12" t="s">
        <v>5</v>
      </c>
    </row>
    <row r="370">
      <c r="B370" s="12" t="s">
        <v>8</v>
      </c>
      <c r="C370" s="13" t="n">
        <v>2.5955020079666875</v>
      </c>
      <c r="D370" s="12" t="s">
        <v>5</v>
      </c>
      <c r="E370" s="12" t="s">
        <v>5</v>
      </c>
      <c r="F370" s="12" t="s">
        <v>5</v>
      </c>
    </row>
    <row r="371">
      <c r="B371" s="12" t="s">
        <v>9</v>
      </c>
      <c r="C371" s="13" t="n">
        <v>2.5518890317222582</v>
      </c>
      <c r="D371" s="12" t="s">
        <v>5</v>
      </c>
      <c r="E371" s="12" t="s">
        <v>5</v>
      </c>
      <c r="F371" s="12" t="s">
        <v>5</v>
      </c>
    </row>
    <row r="374">
      <c r="B374" s="6" t="s">
        <v>108</v>
      </c>
    </row>
    <row r="376">
      <c r="B376" s="9" t="s">
        <v>5</v>
      </c>
      <c r="C376" s="11" t="s">
        <v>106</v>
      </c>
    </row>
    <row r="377">
      <c r="B377" s="12" t="s">
        <v>11</v>
      </c>
      <c r="C377" s="13" t="n">
        <v>1.2765695834035893</v>
      </c>
    </row>
    <row r="378">
      <c r="B378" s="12" t="s">
        <v>12</v>
      </c>
      <c r="C378" s="13" t="n">
        <v>2.5955020079666875</v>
      </c>
    </row>
    <row r="379">
      <c r="B379" s="12" t="s">
        <v>13</v>
      </c>
      <c r="C379" s="13" t="n">
        <v>2.5518890317222582</v>
      </c>
    </row>
    <row r="382">
      <c r="B382" s="6" t="s">
        <v>109</v>
      </c>
    </row>
    <row r="384">
      <c r="B384" s="6" t="s">
        <v>110</v>
      </c>
    </row>
    <row r="386">
      <c r="B386" s="9" t="s">
        <v>5</v>
      </c>
      <c r="C386" s="11" t="s">
        <v>111</v>
      </c>
      <c r="D386" s="11" t="s">
        <v>112</v>
      </c>
    </row>
    <row r="387">
      <c r="B387" s="12" t="s">
        <v>113</v>
      </c>
      <c r="C387" s="11" t="n">
        <v>0.0831552645899791</v>
      </c>
      <c r="D387" s="11" t="n">
        <v>0.08315526458997907</v>
      </c>
    </row>
    <row r="388">
      <c r="B388" s="12" t="s">
        <v>114</v>
      </c>
      <c r="C388" s="11" t="n">
        <v>0.3803138915966188</v>
      </c>
      <c r="D388" s="11" t="n">
        <v>0.3803138915966185</v>
      </c>
    </row>
    <row r="389">
      <c r="B389" s="12" t="s">
        <v>115</v>
      </c>
      <c r="C389" s="11" t="n">
        <v>0.4049002104147303</v>
      </c>
      <c r="D389" s="11" t="n">
        <v>0.4049002104147298</v>
      </c>
    </row>
    <row r="390">
      <c r="B390" s="12" t="s">
        <v>116</v>
      </c>
      <c r="C390" s="11" t="n">
        <v>43.831562639307734</v>
      </c>
      <c r="D390" s="11" t="n">
        <v>43.83156263930777</v>
      </c>
    </row>
    <row r="391">
      <c r="B391" s="12" t="s">
        <v>117</v>
      </c>
      <c r="C391" s="11" t="n">
        <v>0.6958402842722599</v>
      </c>
      <c r="D391" s="11" t="n">
        <v>0.6958402842722595</v>
      </c>
    </row>
    <row r="394">
      <c r="B394" s="6" t="s">
        <v>118</v>
      </c>
    </row>
    <row r="396">
      <c r="B396" s="6" t="s">
        <v>4</v>
      </c>
    </row>
    <row r="398">
      <c r="B398" s="9" t="s">
        <v>5</v>
      </c>
      <c r="C398" s="11" t="s">
        <v>119</v>
      </c>
    </row>
    <row r="399">
      <c r="B399" s="12" t="s">
        <v>6</v>
      </c>
      <c r="C399" s="11" t="n">
        <v>-0.22952361686374267</v>
      </c>
    </row>
    <row r="402">
      <c r="B402" s="8" t="s">
        <v>120</v>
      </c>
    </row>
    <row r="404">
      <c r="B404" s="6" t="s">
        <v>121</v>
      </c>
    </row>
    <row r="406">
      <c r="B406" s="6" t="s">
        <v>122</v>
      </c>
    </row>
    <row r="408">
      <c r="B408" s="9" t="s">
        <v>5</v>
      </c>
      <c r="C408" s="11" t="s">
        <v>121</v>
      </c>
    </row>
    <row r="409">
      <c r="B409" s="12" t="s">
        <v>122</v>
      </c>
      <c r="C409" s="11" t="s">
        <v>123</v>
      </c>
    </row>
    <row r="410">
      <c r="B410" s="12" t="s">
        <v>124</v>
      </c>
      <c r="C410" s="11" t="s">
        <v>125</v>
      </c>
    </row>
    <row r="413">
      <c r="B413" s="6" t="s">
        <v>126</v>
      </c>
    </row>
    <row r="415">
      <c r="B415" s="9" t="s">
        <v>5</v>
      </c>
      <c r="C415" s="11" t="s">
        <v>121</v>
      </c>
    </row>
    <row r="416">
      <c r="B416" s="12" t="s">
        <v>127</v>
      </c>
      <c r="C416" s="11" t="s">
        <v>128</v>
      </c>
    </row>
    <row r="417">
      <c r="B417" s="12" t="s">
        <v>129</v>
      </c>
      <c r="C417" s="11" t="s">
        <v>130</v>
      </c>
    </row>
    <row r="418">
      <c r="B418" s="12" t="s">
        <v>131</v>
      </c>
      <c r="C418" s="11" t="s">
        <v>132</v>
      </c>
    </row>
    <row r="419">
      <c r="B419" s="12" t="s">
        <v>133</v>
      </c>
      <c r="C419" s="11" t="s">
        <v>134</v>
      </c>
    </row>
    <row r="420">
      <c r="B420" s="12" t="s">
        <v>135</v>
      </c>
      <c r="C420" s="11" t="s">
        <v>136</v>
      </c>
    </row>
    <row r="421">
      <c r="B421" s="12" t="s">
        <v>137</v>
      </c>
      <c r="C421" s="11" t="s">
        <v>138</v>
      </c>
    </row>
    <row r="422">
      <c r="B422" s="12" t="s">
        <v>139</v>
      </c>
      <c r="C422" s="11" t="s">
        <v>140</v>
      </c>
    </row>
    <row r="425">
      <c r="B425" s="6" t="s">
        <v>141</v>
      </c>
    </row>
    <row r="427">
      <c r="B427" s="9" t="s">
        <v>5</v>
      </c>
      <c r="C427" s="11" t="s">
        <v>121</v>
      </c>
    </row>
    <row r="428">
      <c r="B428" s="12" t="s">
        <v>6</v>
      </c>
      <c r="C428" s="11" t="s">
        <v>142</v>
      </c>
    </row>
    <row r="429">
      <c r="B429" s="12" t="s">
        <v>7</v>
      </c>
      <c r="C429" s="11" t="s">
        <v>142</v>
      </c>
    </row>
    <row r="430">
      <c r="B430" s="12" t="s">
        <v>8</v>
      </c>
      <c r="C430" s="11" t="s">
        <v>142</v>
      </c>
    </row>
    <row r="431">
      <c r="B431" s="12" t="s">
        <v>9</v>
      </c>
      <c r="C431" s="11" t="s">
        <v>142</v>
      </c>
    </row>
    <row r="434">
      <c r="B434" s="6" t="s">
        <v>143</v>
      </c>
    </row>
    <row r="436">
      <c r="B436" s="6" t="s">
        <v>4</v>
      </c>
    </row>
    <row r="438">
      <c r="B438" s="9" t="s">
        <v>5</v>
      </c>
      <c r="C438" s="11" t="s">
        <v>18</v>
      </c>
      <c r="D438" s="11" t="s">
        <v>19</v>
      </c>
      <c r="E438" s="11" t="s">
        <v>20</v>
      </c>
      <c r="F438" s="11" t="s">
        <v>21</v>
      </c>
      <c r="G438" s="11" t="s">
        <v>22</v>
      </c>
      <c r="H438" s="11" t="s">
        <v>23</v>
      </c>
      <c r="I438" s="11" t="s">
        <v>24</v>
      </c>
      <c r="J438" s="11" t="s">
        <v>25</v>
      </c>
      <c r="K438" s="11" t="s">
        <v>26</v>
      </c>
      <c r="L438" s="11" t="s">
        <v>27</v>
      </c>
    </row>
    <row r="439">
      <c r="B439" s="12" t="s">
        <v>144</v>
      </c>
      <c r="C439" s="11" t="n">
        <v>0.525875394333764</v>
      </c>
      <c r="D439" s="11" t="n">
        <v>0.525875394333764</v>
      </c>
      <c r="E439" s="11" t="n">
        <v>0.29039186952109736</v>
      </c>
      <c r="F439" s="11" t="n">
        <v>0.29039186952109736</v>
      </c>
      <c r="G439" s="11" t="n">
        <v>0.29039186952109736</v>
      </c>
      <c r="H439" s="11" t="n">
        <v>0.29039186952109736</v>
      </c>
      <c r="I439" s="11" t="n">
        <v>0.9999999999999998</v>
      </c>
      <c r="J439" s="11" t="n">
        <v>0.39878336111732743</v>
      </c>
      <c r="K439" s="11" t="n">
        <v>0.39878336111732743</v>
      </c>
      <c r="L439" s="11" t="n">
        <v>0.39878336111732743</v>
      </c>
    </row>
    <row r="440">
      <c r="B440" s="12" t="s">
        <v>145</v>
      </c>
      <c r="C440" s="11" t="n">
        <v>0.5136972828862642</v>
      </c>
      <c r="D440" s="11" t="n">
        <v>0.538023634155869</v>
      </c>
      <c r="E440" s="11" t="n">
        <v>0.30435850046368296</v>
      </c>
      <c r="F440" s="11" t="n">
        <v>0.3366667850829808</v>
      </c>
      <c r="G440" s="11" t="n">
        <v>0.38204928142583605</v>
      </c>
      <c r="H440" s="11" t="n">
        <v>0.13889333557246414</v>
      </c>
      <c r="I440" s="11" t="n">
        <v>0.9999999999999999</v>
      </c>
      <c r="J440" s="11" t="n">
        <v>0.3517707563492159</v>
      </c>
      <c r="K440" s="11" t="n">
        <v>0.520113933709061</v>
      </c>
      <c r="L440" s="11" t="n">
        <v>0.3300199508061299</v>
      </c>
    </row>
    <row r="441">
      <c r="B441" s="12" t="s">
        <v>146</v>
      </c>
      <c r="C441" s="11" t="n">
        <v>0.5205495023625105</v>
      </c>
      <c r="D441" s="11" t="n">
        <v>0.5311955652256396</v>
      </c>
      <c r="E441" s="11" t="n">
        <v>0.30193333272618667</v>
      </c>
      <c r="F441" s="11" t="n">
        <v>0.3384585673667111</v>
      </c>
      <c r="G441" s="11" t="n">
        <v>0.3840825949699743</v>
      </c>
      <c r="H441" s="11" t="n">
        <v>0.13707982191024412</v>
      </c>
      <c r="I441" s="11" t="n">
        <v>0.9999999999999998</v>
      </c>
      <c r="J441" s="11" t="n">
        <v>0.35253228604794246</v>
      </c>
      <c r="K441" s="11" t="n">
        <v>0.5198790012109645</v>
      </c>
      <c r="L441" s="11" t="n">
        <v>0.3294697391487409</v>
      </c>
    </row>
    <row r="442">
      <c r="B442" s="12" t="s">
        <v>147</v>
      </c>
      <c r="C442" s="11" t="n">
        <v>0.5206846414490653</v>
      </c>
      <c r="D442" s="11" t="n">
        <v>0.5310607126414495</v>
      </c>
      <c r="E442" s="11" t="n">
        <v>0.3032959698166512</v>
      </c>
      <c r="F442" s="11" t="n">
        <v>0.3374523071651451</v>
      </c>
      <c r="G442" s="11" t="n">
        <v>0.3829406914500267</v>
      </c>
      <c r="H442" s="11" t="n">
        <v>0.13809870877226643</v>
      </c>
      <c r="I442" s="11" t="n">
        <v>0.9999999999999998</v>
      </c>
      <c r="J442" s="11" t="n">
        <v>0.35210382794714934</v>
      </c>
      <c r="K442" s="11" t="n">
        <v>0.5200112025723953</v>
      </c>
      <c r="L442" s="11" t="n">
        <v>0.3297793239279633</v>
      </c>
    </row>
    <row r="443">
      <c r="B443" s="12" t="s">
        <v>148</v>
      </c>
      <c r="C443" s="11" t="n">
        <v>0.5206678722924943</v>
      </c>
      <c r="D443" s="11" t="n">
        <v>0.5310774466459998</v>
      </c>
      <c r="E443" s="11" t="n">
        <v>0.3033228932203599</v>
      </c>
      <c r="F443" s="11" t="n">
        <v>0.33743241239332683</v>
      </c>
      <c r="G443" s="11" t="n">
        <v>0.3829181148739756</v>
      </c>
      <c r="H443" s="11" t="n">
        <v>0.13811884227059693</v>
      </c>
      <c r="I443" s="11" t="n">
        <v>0.9999999999999999</v>
      </c>
      <c r="J443" s="11" t="n">
        <v>0.3520953772212133</v>
      </c>
      <c r="K443" s="11" t="n">
        <v>0.5200138094943397</v>
      </c>
      <c r="L443" s="11" t="n">
        <v>0.3297854295249606</v>
      </c>
    </row>
    <row r="444">
      <c r="B444" s="12" t="s">
        <v>149</v>
      </c>
      <c r="C444" s="11" t="n">
        <v>0.5206672509292842</v>
      </c>
      <c r="D444" s="11" t="n">
        <v>0.5310780667045142</v>
      </c>
      <c r="E444" s="11" t="n">
        <v>0.30331955224069396</v>
      </c>
      <c r="F444" s="11" t="n">
        <v>0.3374348812027463</v>
      </c>
      <c r="G444" s="11" t="n">
        <v>0.38292091647753873</v>
      </c>
      <c r="H444" s="11" t="n">
        <v>0.1381163438597826</v>
      </c>
      <c r="I444" s="11" t="n">
        <v>0.9999999999999999</v>
      </c>
      <c r="J444" s="11" t="n">
        <v>0.3520964258576375</v>
      </c>
      <c r="K444" s="11" t="n">
        <v>0.5200134860069436</v>
      </c>
      <c r="L444" s="11" t="n">
        <v>0.32978467189275495</v>
      </c>
    </row>
    <row r="445">
      <c r="B445" s="12" t="s">
        <v>150</v>
      </c>
      <c r="C445" s="11" t="n">
        <v>0.5206672878361486</v>
      </c>
      <c r="D445" s="11" t="n">
        <v>0.5310780298751487</v>
      </c>
      <c r="E445" s="11" t="n">
        <v>0.3033194284448269</v>
      </c>
      <c r="F445" s="11" t="n">
        <v>0.3374349726812777</v>
      </c>
      <c r="G445" s="11" t="n">
        <v>0.3829210202873256</v>
      </c>
      <c r="H445" s="11" t="n">
        <v>0.1381162512842848</v>
      </c>
      <c r="I445" s="11" t="n">
        <v>0.9999999999999998</v>
      </c>
      <c r="J445" s="11" t="n">
        <v>0.3520964647137327</v>
      </c>
      <c r="K445" s="11" t="n">
        <v>0.5200134740204596</v>
      </c>
      <c r="L445" s="11" t="n">
        <v>0.3297846438195021</v>
      </c>
    </row>
    <row r="446">
      <c r="B446" s="12" t="s">
        <v>151</v>
      </c>
      <c r="C446" s="11" t="n">
        <v>0.5206672900952148</v>
      </c>
      <c r="D446" s="11" t="n">
        <v>0.5310780276208262</v>
      </c>
      <c r="E446" s="11" t="n">
        <v>0.3033194357978798</v>
      </c>
      <c r="F446" s="11" t="n">
        <v>0.3374349672477647</v>
      </c>
      <c r="G446" s="11" t="n">
        <v>0.382921014121378</v>
      </c>
      <c r="H446" s="11" t="n">
        <v>0.13811625678295403</v>
      </c>
      <c r="I446" s="11" t="n">
        <v>0.9999999999999998</v>
      </c>
      <c r="J446" s="11" t="n">
        <v>0.35209646240581266</v>
      </c>
      <c r="K446" s="11" t="n">
        <v>0.5200134747324161</v>
      </c>
      <c r="L446" s="11" t="n">
        <v>0.3297846454869581</v>
      </c>
    </row>
    <row r="449">
      <c r="B449" s="6" t="s">
        <v>152</v>
      </c>
    </row>
    <row r="451">
      <c r="B451" s="6" t="s">
        <v>153</v>
      </c>
    </row>
    <row r="453">
      <c r="B453" s="9" t="s">
        <v>5</v>
      </c>
      <c r="C453" s="11" t="s">
        <v>3</v>
      </c>
      <c r="D453" s="11" t="s">
        <v>154</v>
      </c>
      <c r="E453" s="11" t="s">
        <v>155</v>
      </c>
    </row>
    <row r="454">
      <c r="B454" s="12" t="s">
        <v>11</v>
      </c>
      <c r="C454" s="11" t="n">
        <v>-0.09407839327150949</v>
      </c>
      <c r="D454" s="11" t="n">
        <v>0.028349989323351983</v>
      </c>
      <c r="E454" s="11" t="n">
        <v>0.11045305459837468</v>
      </c>
    </row>
    <row r="455">
      <c r="B455" s="12" t="s">
        <v>12</v>
      </c>
      <c r="C455" s="11" t="n">
        <v>0.5809429269747819</v>
      </c>
      <c r="D455" s="11" t="n">
        <v>0.6070766781306971</v>
      </c>
      <c r="E455" s="11" t="n">
        <v>0.8297561649217531</v>
      </c>
    </row>
    <row r="456">
      <c r="B456" s="12" t="s">
        <v>13</v>
      </c>
      <c r="C456" s="11" t="n">
        <v>0.13689346166484376</v>
      </c>
      <c r="D456" s="11" t="n">
        <v>0.04325135227171223</v>
      </c>
      <c r="E456" s="11" t="n">
        <v>0.1508844558401975</v>
      </c>
    </row>
    <row r="459">
      <c r="B459" s="6" t="s">
        <v>156</v>
      </c>
    </row>
    <row r="461">
      <c r="B461" s="9" t="s">
        <v>5</v>
      </c>
      <c r="C461" s="11" t="s">
        <v>3</v>
      </c>
      <c r="D461" s="11" t="s">
        <v>157</v>
      </c>
      <c r="E461" s="11" t="s">
        <v>158</v>
      </c>
      <c r="F461" s="11" t="s">
        <v>159</v>
      </c>
      <c r="G461" s="11" t="s">
        <v>160</v>
      </c>
    </row>
    <row r="462">
      <c r="B462" s="12" t="s">
        <v>11</v>
      </c>
      <c r="C462" s="11" t="n">
        <v>-0.09407839327150949</v>
      </c>
      <c r="D462" s="11" t="n">
        <v>1134.0</v>
      </c>
      <c r="E462" s="11" t="n">
        <v>699.0</v>
      </c>
      <c r="F462" s="11" t="n">
        <v>1471.0</v>
      </c>
      <c r="G462" s="11" t="n">
        <v>968.0</v>
      </c>
    </row>
    <row r="463">
      <c r="B463" s="12" t="s">
        <v>12</v>
      </c>
      <c r="C463" s="11" t="n">
        <v>0.5809429269747819</v>
      </c>
      <c r="D463" s="11" t="n">
        <v>30.0</v>
      </c>
      <c r="E463" s="11" t="n">
        <v>19.0</v>
      </c>
      <c r="F463" s="11" t="n">
        <v>39.0</v>
      </c>
      <c r="G463" s="11" t="n">
        <v>26.0</v>
      </c>
    </row>
    <row r="464">
      <c r="B464" s="12" t="s">
        <v>13</v>
      </c>
      <c r="C464" s="11" t="n">
        <v>0.13689346166484376</v>
      </c>
      <c r="D464" s="11" t="n">
        <v>536.0</v>
      </c>
      <c r="E464" s="11" t="n">
        <v>330.0</v>
      </c>
      <c r="F464" s="11" t="n">
        <v>695.0</v>
      </c>
      <c r="G464" s="11" t="n">
        <v>457.0</v>
      </c>
    </row>
    <row r="467">
      <c r="B467" s="6" t="s">
        <v>161</v>
      </c>
    </row>
    <row r="469">
      <c r="B469" s="9" t="s">
        <v>5</v>
      </c>
      <c r="C469" s="11" t="s">
        <v>157</v>
      </c>
      <c r="D469" s="11" t="s">
        <v>158</v>
      </c>
      <c r="E469" s="11" t="s">
        <v>159</v>
      </c>
      <c r="F469" s="11" t="s">
        <v>160</v>
      </c>
    </row>
    <row r="470">
      <c r="B470" s="12" t="s">
        <v>161</v>
      </c>
      <c r="C470" s="11" t="n">
        <v>0.7083794275243703</v>
      </c>
      <c r="D470" s="11" t="n">
        <v>0.5559926812476836</v>
      </c>
      <c r="E470" s="11" t="n">
        <v>0.8067508402896444</v>
      </c>
      <c r="F470" s="11" t="n">
        <v>0.6543640940129577</v>
      </c>
    </row>
    <row r="473">
      <c r="B473" s="6" t="s">
        <v>162</v>
      </c>
    </row>
    <row r="474">
      <c r="B474" s="15" t="s">
        <v>163</v>
      </c>
    </row>
    <row r="475">
      <c r="B475" s="16" t="s">
        <v>164</v>
      </c>
    </row>
    <row r="476">
      <c r="B476" s="15" t="s">
        <v>165</v>
      </c>
    </row>
    <row r="477">
      <c r="B477" s="16" t="s">
        <v>166</v>
      </c>
    </row>
    <row r="480">
      <c r="B480" s="8" t="s">
        <v>167</v>
      </c>
    </row>
    <row r="482">
      <c r="B482" s="6" t="s">
        <v>168</v>
      </c>
    </row>
    <row r="483">
      <c r="B483" s="9" t="s">
        <v>5</v>
      </c>
      <c r="C483" s="11" t="s">
        <v>6</v>
      </c>
      <c r="D483" s="11" t="s">
        <v>7</v>
      </c>
      <c r="E483" s="11" t="s">
        <v>8</v>
      </c>
      <c r="F483" s="11" t="s">
        <v>9</v>
      </c>
    </row>
    <row r="484">
      <c r="B484" s="12" t="s">
        <v>6</v>
      </c>
      <c r="C484" s="12" t="s">
        <v>5</v>
      </c>
      <c r="D484" s="12" t="s">
        <v>5</v>
      </c>
      <c r="E484" s="12" t="s">
        <v>5</v>
      </c>
      <c r="F484" s="12" t="s">
        <v>5</v>
      </c>
    </row>
    <row r="485">
      <c r="B485" s="12" t="s">
        <v>7</v>
      </c>
      <c r="C485" s="11" t="n">
        <v>1.0</v>
      </c>
      <c r="D485" s="12" t="s">
        <v>5</v>
      </c>
      <c r="E485" s="12" t="s">
        <v>5</v>
      </c>
      <c r="F485" s="12" t="s">
        <v>5</v>
      </c>
    </row>
    <row r="486">
      <c r="B486" s="12" t="s">
        <v>8</v>
      </c>
      <c r="C486" s="11" t="n">
        <v>1.0</v>
      </c>
      <c r="D486" s="12" t="s">
        <v>5</v>
      </c>
      <c r="E486" s="12" t="s">
        <v>5</v>
      </c>
      <c r="F486" s="12" t="s">
        <v>5</v>
      </c>
    </row>
    <row r="487">
      <c r="B487" s="12" t="s">
        <v>9</v>
      </c>
      <c r="C487" s="11" t="n">
        <v>1.0</v>
      </c>
      <c r="D487" s="12" t="s">
        <v>5</v>
      </c>
      <c r="E487" s="12" t="s">
        <v>5</v>
      </c>
      <c r="F487" s="12" t="s">
        <v>5</v>
      </c>
    </row>
    <row r="490">
      <c r="B490" s="6" t="s">
        <v>169</v>
      </c>
    </row>
    <row r="491">
      <c r="B491" s="9" t="s">
        <v>5</v>
      </c>
      <c r="C491" s="11" t="s">
        <v>6</v>
      </c>
      <c r="D491" s="11" t="s">
        <v>7</v>
      </c>
      <c r="E491" s="11" t="s">
        <v>8</v>
      </c>
      <c r="F491" s="11" t="s">
        <v>9</v>
      </c>
    </row>
    <row r="492">
      <c r="B492" s="12" t="s">
        <v>18</v>
      </c>
      <c r="C492" s="11" t="n">
        <v>-1.0</v>
      </c>
      <c r="D492" s="12" t="s">
        <v>5</v>
      </c>
      <c r="E492" s="12" t="s">
        <v>5</v>
      </c>
      <c r="F492" s="12" t="s">
        <v>5</v>
      </c>
    </row>
    <row r="493">
      <c r="B493" s="12" t="s">
        <v>19</v>
      </c>
      <c r="C493" s="11" t="n">
        <v>-1.0</v>
      </c>
      <c r="D493" s="12" t="s">
        <v>5</v>
      </c>
      <c r="E493" s="12" t="s">
        <v>5</v>
      </c>
      <c r="F493" s="12" t="s">
        <v>5</v>
      </c>
    </row>
    <row r="494">
      <c r="B494" s="12" t="s">
        <v>20</v>
      </c>
      <c r="C494" s="12" t="s">
        <v>5</v>
      </c>
      <c r="D494" s="11" t="n">
        <v>-1.0</v>
      </c>
      <c r="E494" s="12" t="s">
        <v>5</v>
      </c>
      <c r="F494" s="12" t="s">
        <v>5</v>
      </c>
    </row>
    <row r="495">
      <c r="B495" s="12" t="s">
        <v>21</v>
      </c>
      <c r="C495" s="12" t="s">
        <v>5</v>
      </c>
      <c r="D495" s="11" t="n">
        <v>-1.0</v>
      </c>
      <c r="E495" s="12" t="s">
        <v>5</v>
      </c>
      <c r="F495" s="12" t="s">
        <v>5</v>
      </c>
    </row>
    <row r="496">
      <c r="B496" s="12" t="s">
        <v>22</v>
      </c>
      <c r="C496" s="12" t="s">
        <v>5</v>
      </c>
      <c r="D496" s="11" t="n">
        <v>-1.0</v>
      </c>
      <c r="E496" s="12" t="s">
        <v>5</v>
      </c>
      <c r="F496" s="12" t="s">
        <v>5</v>
      </c>
    </row>
    <row r="497">
      <c r="B497" s="12" t="s">
        <v>23</v>
      </c>
      <c r="C497" s="12" t="s">
        <v>5</v>
      </c>
      <c r="D497" s="11" t="n">
        <v>-1.0</v>
      </c>
      <c r="E497" s="12" t="s">
        <v>5</v>
      </c>
      <c r="F497" s="12" t="s">
        <v>5</v>
      </c>
    </row>
    <row r="498">
      <c r="B498" s="12" t="s">
        <v>24</v>
      </c>
      <c r="C498" s="12" t="s">
        <v>5</v>
      </c>
      <c r="D498" s="12" t="s">
        <v>5</v>
      </c>
      <c r="E498" s="11" t="n">
        <v>-1.0</v>
      </c>
      <c r="F498" s="12" t="s">
        <v>5</v>
      </c>
    </row>
    <row r="499">
      <c r="B499" s="12" t="s">
        <v>25</v>
      </c>
      <c r="C499" s="12" t="s">
        <v>5</v>
      </c>
      <c r="D499" s="12" t="s">
        <v>5</v>
      </c>
      <c r="E499" s="12" t="s">
        <v>5</v>
      </c>
      <c r="F499" s="11" t="n">
        <v>-1.0</v>
      </c>
    </row>
    <row r="500">
      <c r="B500" s="12" t="s">
        <v>26</v>
      </c>
      <c r="C500" s="12" t="s">
        <v>5</v>
      </c>
      <c r="D500" s="12" t="s">
        <v>5</v>
      </c>
      <c r="E500" s="12" t="s">
        <v>5</v>
      </c>
      <c r="F500" s="11" t="n">
        <v>-1.0</v>
      </c>
    </row>
    <row r="501">
      <c r="B501" s="12" t="s">
        <v>27</v>
      </c>
      <c r="C501" s="12" t="s">
        <v>5</v>
      </c>
      <c r="D501" s="12" t="s">
        <v>5</v>
      </c>
      <c r="E501" s="12" t="s">
        <v>5</v>
      </c>
      <c r="F501" s="11" t="n">
        <v>-1.0</v>
      </c>
    </row>
    <row r="504">
      <c r="B504" s="6" t="s">
        <v>170</v>
      </c>
    </row>
    <row r="506">
      <c r="B506" s="6" t="s">
        <v>40</v>
      </c>
    </row>
    <row r="508">
      <c r="B508" s="9" t="s">
        <v>76</v>
      </c>
      <c r="C508" s="11" t="s">
        <v>18</v>
      </c>
      <c r="D508" s="11" t="s">
        <v>19</v>
      </c>
      <c r="E508" s="11" t="s">
        <v>20</v>
      </c>
      <c r="F508" s="11" t="s">
        <v>21</v>
      </c>
      <c r="G508" s="11" t="s">
        <v>22</v>
      </c>
      <c r="H508" s="11" t="s">
        <v>23</v>
      </c>
      <c r="I508" s="11" t="s">
        <v>24</v>
      </c>
      <c r="J508" s="11" t="s">
        <v>25</v>
      </c>
      <c r="K508" s="11" t="s">
        <v>26</v>
      </c>
      <c r="L508" s="11" t="s">
        <v>27</v>
      </c>
    </row>
    <row r="509">
      <c r="B509" s="12" t="s">
        <v>41</v>
      </c>
      <c r="C509" s="11" t="n">
        <v>4.0</v>
      </c>
      <c r="D509" s="11" t="n">
        <v>4.0</v>
      </c>
      <c r="E509" s="11" t="n">
        <v>5.0</v>
      </c>
      <c r="F509" s="11" t="n">
        <v>5.0</v>
      </c>
      <c r="G509" s="11" t="n">
        <v>5.0</v>
      </c>
      <c r="H509" s="11" t="n">
        <v>5.0</v>
      </c>
      <c r="I509" s="11" t="n">
        <v>5.0</v>
      </c>
      <c r="J509" s="11" t="n">
        <v>5.0</v>
      </c>
      <c r="K509" s="11" t="n">
        <v>5.0</v>
      </c>
      <c r="L509" s="11" t="n">
        <v>5.0</v>
      </c>
    </row>
    <row r="510">
      <c r="B510" s="12" t="s">
        <v>42</v>
      </c>
      <c r="C510" s="11" t="n">
        <v>5.0</v>
      </c>
      <c r="D510" s="11" t="n">
        <v>5.0</v>
      </c>
      <c r="E510" s="11" t="n">
        <v>4.0</v>
      </c>
      <c r="F510" s="11" t="n">
        <v>3.0</v>
      </c>
      <c r="G510" s="11" t="n">
        <v>3.0</v>
      </c>
      <c r="H510" s="11" t="n">
        <v>3.0</v>
      </c>
      <c r="I510" s="11" t="n">
        <v>3.0</v>
      </c>
      <c r="J510" s="11" t="n">
        <v>4.0</v>
      </c>
      <c r="K510" s="11" t="n">
        <v>5.0</v>
      </c>
      <c r="L510" s="11" t="n">
        <v>3.0</v>
      </c>
    </row>
    <row r="511">
      <c r="B511" s="12" t="s">
        <v>43</v>
      </c>
      <c r="C511" s="11" t="n">
        <v>4.0</v>
      </c>
      <c r="D511" s="11" t="n">
        <v>4.0</v>
      </c>
      <c r="E511" s="11" t="n">
        <v>5.0</v>
      </c>
      <c r="F511" s="11" t="n">
        <v>5.0</v>
      </c>
      <c r="G511" s="11" t="n">
        <v>5.0</v>
      </c>
      <c r="H511" s="11" t="n">
        <v>5.0</v>
      </c>
      <c r="I511" s="11" t="n">
        <v>3.0</v>
      </c>
      <c r="J511" s="11" t="n">
        <v>5.0</v>
      </c>
      <c r="K511" s="11" t="n">
        <v>5.0</v>
      </c>
      <c r="L511" s="11" t="n">
        <v>3.0</v>
      </c>
    </row>
    <row r="512">
      <c r="B512" s="12" t="s">
        <v>44</v>
      </c>
      <c r="C512" s="11" t="n">
        <v>3.0</v>
      </c>
      <c r="D512" s="11" t="n">
        <v>3.0</v>
      </c>
      <c r="E512" s="11" t="n">
        <v>4.0</v>
      </c>
      <c r="F512" s="11" t="n">
        <v>4.0</v>
      </c>
      <c r="G512" s="11" t="n">
        <v>4.0</v>
      </c>
      <c r="H512" s="11" t="n">
        <v>4.0</v>
      </c>
      <c r="I512" s="11" t="n">
        <v>2.0</v>
      </c>
      <c r="J512" s="11" t="n">
        <v>3.0</v>
      </c>
      <c r="K512" s="11" t="n">
        <v>3.0</v>
      </c>
      <c r="L512" s="11" t="n">
        <v>2.0</v>
      </c>
    </row>
    <row r="513">
      <c r="B513" s="12" t="s">
        <v>45</v>
      </c>
      <c r="C513" s="11" t="n">
        <v>3.0</v>
      </c>
      <c r="D513" s="11" t="n">
        <v>4.0</v>
      </c>
      <c r="E513" s="11" t="n">
        <v>3.0</v>
      </c>
      <c r="F513" s="11" t="n">
        <v>4.0</v>
      </c>
      <c r="G513" s="11" t="n">
        <v>4.0</v>
      </c>
      <c r="H513" s="11" t="n">
        <v>4.0</v>
      </c>
      <c r="I513" s="11" t="n">
        <v>4.0</v>
      </c>
      <c r="J513" s="11" t="n">
        <v>5.0</v>
      </c>
      <c r="K513" s="11" t="n">
        <v>4.0</v>
      </c>
      <c r="L513" s="11" t="n">
        <v>4.0</v>
      </c>
    </row>
    <row r="514">
      <c r="B514" s="12" t="s">
        <v>46</v>
      </c>
      <c r="C514" s="11" t="n">
        <v>5.0</v>
      </c>
      <c r="D514" s="11" t="n">
        <v>5.0</v>
      </c>
      <c r="E514" s="11" t="n">
        <v>5.0</v>
      </c>
      <c r="F514" s="11" t="n">
        <v>5.0</v>
      </c>
      <c r="G514" s="11" t="n">
        <v>5.0</v>
      </c>
      <c r="H514" s="11" t="n">
        <v>5.0</v>
      </c>
      <c r="I514" s="11" t="n">
        <v>5.0</v>
      </c>
      <c r="J514" s="11" t="n">
        <v>5.0</v>
      </c>
      <c r="K514" s="11" t="n">
        <v>4.0</v>
      </c>
      <c r="L514" s="11" t="n">
        <v>5.0</v>
      </c>
    </row>
    <row r="515">
      <c r="B515" s="12" t="s">
        <v>47</v>
      </c>
      <c r="C515" s="11" t="n">
        <v>4.0</v>
      </c>
      <c r="D515" s="11" t="n">
        <v>5.0</v>
      </c>
      <c r="E515" s="11" t="n">
        <v>5.0</v>
      </c>
      <c r="F515" s="11" t="n">
        <v>5.0</v>
      </c>
      <c r="G515" s="11" t="n">
        <v>5.0</v>
      </c>
      <c r="H515" s="11" t="n">
        <v>5.0</v>
      </c>
      <c r="I515" s="11" t="n">
        <v>5.0</v>
      </c>
      <c r="J515" s="11" t="n">
        <v>5.0</v>
      </c>
      <c r="K515" s="11" t="n">
        <v>5.0</v>
      </c>
      <c r="L515" s="11" t="n">
        <v>5.0</v>
      </c>
    </row>
    <row r="516">
      <c r="B516" s="12" t="s">
        <v>48</v>
      </c>
      <c r="C516" s="11" t="n">
        <v>4.0</v>
      </c>
      <c r="D516" s="11" t="n">
        <v>4.0</v>
      </c>
      <c r="E516" s="11" t="n">
        <v>5.0</v>
      </c>
      <c r="F516" s="11" t="n">
        <v>4.0</v>
      </c>
      <c r="G516" s="11" t="n">
        <v>4.0</v>
      </c>
      <c r="H516" s="11" t="n">
        <v>4.0</v>
      </c>
      <c r="I516" s="11" t="n">
        <v>5.0</v>
      </c>
      <c r="J516" s="11" t="n">
        <v>4.0</v>
      </c>
      <c r="K516" s="11" t="n">
        <v>5.0</v>
      </c>
      <c r="L516" s="11" t="n">
        <v>4.0</v>
      </c>
    </row>
    <row r="517">
      <c r="B517" s="12" t="s">
        <v>49</v>
      </c>
      <c r="C517" s="11" t="n">
        <v>3.0</v>
      </c>
      <c r="D517" s="11" t="n">
        <v>3.0</v>
      </c>
      <c r="E517" s="11" t="n">
        <v>5.0</v>
      </c>
      <c r="F517" s="11" t="n">
        <v>5.0</v>
      </c>
      <c r="G517" s="11" t="n">
        <v>5.0</v>
      </c>
      <c r="H517" s="11" t="n">
        <v>5.0</v>
      </c>
      <c r="I517" s="11" t="n">
        <v>4.0</v>
      </c>
      <c r="J517" s="11" t="n">
        <v>5.0</v>
      </c>
      <c r="K517" s="11" t="n">
        <v>5.0</v>
      </c>
      <c r="L517" s="11" t="n">
        <v>5.0</v>
      </c>
    </row>
    <row r="518">
      <c r="B518" s="12" t="s">
        <v>50</v>
      </c>
      <c r="C518" s="11" t="n">
        <v>5.0</v>
      </c>
      <c r="D518" s="11" t="n">
        <v>4.0</v>
      </c>
      <c r="E518" s="11" t="n">
        <v>5.0</v>
      </c>
      <c r="F518" s="11" t="n">
        <v>5.0</v>
      </c>
      <c r="G518" s="11" t="n">
        <v>4.0</v>
      </c>
      <c r="H518" s="11" t="n">
        <v>5.0</v>
      </c>
      <c r="I518" s="11" t="n">
        <v>5.0</v>
      </c>
      <c r="J518" s="11" t="n">
        <v>5.0</v>
      </c>
      <c r="K518" s="11" t="n">
        <v>5.0</v>
      </c>
      <c r="L518" s="11" t="n">
        <v>5.0</v>
      </c>
    </row>
    <row r="519">
      <c r="B519" s="12" t="s">
        <v>51</v>
      </c>
      <c r="C519" s="11" t="n">
        <v>5.0</v>
      </c>
      <c r="D519" s="11" t="n">
        <v>5.0</v>
      </c>
      <c r="E519" s="11" t="n">
        <v>5.0</v>
      </c>
      <c r="F519" s="11" t="n">
        <v>5.0</v>
      </c>
      <c r="G519" s="11" t="n">
        <v>5.0</v>
      </c>
      <c r="H519" s="11" t="n">
        <v>5.0</v>
      </c>
      <c r="I519" s="11" t="n">
        <v>5.0</v>
      </c>
      <c r="J519" s="11" t="n">
        <v>5.0</v>
      </c>
      <c r="K519" s="11" t="n">
        <v>5.0</v>
      </c>
      <c r="L519" s="11" t="n">
        <v>3.0</v>
      </c>
    </row>
    <row r="520">
      <c r="B520" s="12" t="s">
        <v>52</v>
      </c>
      <c r="C520" s="11" t="n">
        <v>4.0</v>
      </c>
      <c r="D520" s="11" t="n">
        <v>4.0</v>
      </c>
      <c r="E520" s="11" t="n">
        <v>5.0</v>
      </c>
      <c r="F520" s="11" t="n">
        <v>5.0</v>
      </c>
      <c r="G520" s="11" t="n">
        <v>4.0</v>
      </c>
      <c r="H520" s="11" t="n">
        <v>5.0</v>
      </c>
      <c r="I520" s="11" t="n">
        <v>4.0</v>
      </c>
      <c r="J520" s="11" t="n">
        <v>4.0</v>
      </c>
      <c r="K520" s="11" t="n">
        <v>4.0</v>
      </c>
      <c r="L520" s="11" t="n">
        <v>4.0</v>
      </c>
    </row>
    <row r="521">
      <c r="B521" s="12" t="s">
        <v>53</v>
      </c>
      <c r="C521" s="11" t="n">
        <v>3.0</v>
      </c>
      <c r="D521" s="11" t="n">
        <v>3.0</v>
      </c>
      <c r="E521" s="11" t="n">
        <v>5.0</v>
      </c>
      <c r="F521" s="11" t="n">
        <v>5.0</v>
      </c>
      <c r="G521" s="11" t="n">
        <v>5.0</v>
      </c>
      <c r="H521" s="11" t="n">
        <v>5.0</v>
      </c>
      <c r="I521" s="11" t="n">
        <v>3.0</v>
      </c>
      <c r="J521" s="11" t="n">
        <v>4.0</v>
      </c>
      <c r="K521" s="11" t="n">
        <v>4.0</v>
      </c>
      <c r="L521" s="11" t="n">
        <v>3.0</v>
      </c>
    </row>
    <row r="522">
      <c r="B522" s="12" t="s">
        <v>54</v>
      </c>
      <c r="C522" s="11" t="n">
        <v>5.0</v>
      </c>
      <c r="D522" s="11" t="n">
        <v>5.0</v>
      </c>
      <c r="E522" s="11" t="n">
        <v>5.0</v>
      </c>
      <c r="F522" s="11" t="n">
        <v>5.0</v>
      </c>
      <c r="G522" s="11" t="n">
        <v>5.0</v>
      </c>
      <c r="H522" s="11" t="n">
        <v>5.0</v>
      </c>
      <c r="I522" s="11" t="n">
        <v>5.0</v>
      </c>
      <c r="J522" s="11" t="n">
        <v>5.0</v>
      </c>
      <c r="K522" s="11" t="n">
        <v>5.0</v>
      </c>
      <c r="L522" s="11" t="n">
        <v>5.0</v>
      </c>
    </row>
    <row r="523">
      <c r="B523" s="12" t="s">
        <v>55</v>
      </c>
      <c r="C523" s="11" t="n">
        <v>5.0</v>
      </c>
      <c r="D523" s="11" t="n">
        <v>5.0</v>
      </c>
      <c r="E523" s="11" t="n">
        <v>5.0</v>
      </c>
      <c r="F523" s="11" t="n">
        <v>5.0</v>
      </c>
      <c r="G523" s="11" t="n">
        <v>5.0</v>
      </c>
      <c r="H523" s="11" t="n">
        <v>5.0</v>
      </c>
      <c r="I523" s="11" t="n">
        <v>5.0</v>
      </c>
      <c r="J523" s="11" t="n">
        <v>5.0</v>
      </c>
      <c r="K523" s="11" t="n">
        <v>5.0</v>
      </c>
      <c r="L523" s="11" t="n">
        <v>5.0</v>
      </c>
    </row>
    <row r="524">
      <c r="B524" s="12" t="s">
        <v>56</v>
      </c>
      <c r="C524" s="11" t="n">
        <v>5.0</v>
      </c>
      <c r="D524" s="11" t="n">
        <v>5.0</v>
      </c>
      <c r="E524" s="11" t="n">
        <v>5.0</v>
      </c>
      <c r="F524" s="11" t="n">
        <v>4.0</v>
      </c>
      <c r="G524" s="11" t="n">
        <v>5.0</v>
      </c>
      <c r="H524" s="11" t="n">
        <v>5.0</v>
      </c>
      <c r="I524" s="11" t="n">
        <v>5.0</v>
      </c>
      <c r="J524" s="11" t="n">
        <v>5.0</v>
      </c>
      <c r="K524" s="11" t="n">
        <v>5.0</v>
      </c>
      <c r="L524" s="11" t="n">
        <v>5.0</v>
      </c>
    </row>
    <row r="525">
      <c r="B525" s="12" t="s">
        <v>57</v>
      </c>
      <c r="C525" s="11" t="n">
        <v>5.0</v>
      </c>
      <c r="D525" s="11" t="n">
        <v>5.0</v>
      </c>
      <c r="E525" s="11" t="n">
        <v>4.0</v>
      </c>
      <c r="F525" s="11" t="n">
        <v>5.0</v>
      </c>
      <c r="G525" s="11" t="n">
        <v>5.0</v>
      </c>
      <c r="H525" s="11" t="n">
        <v>5.0</v>
      </c>
      <c r="I525" s="11" t="n">
        <v>4.0</v>
      </c>
      <c r="J525" s="11" t="n">
        <v>4.0</v>
      </c>
      <c r="K525" s="11" t="n">
        <v>5.0</v>
      </c>
      <c r="L525" s="11" t="n">
        <v>4.0</v>
      </c>
    </row>
    <row r="526">
      <c r="B526" s="12" t="s">
        <v>58</v>
      </c>
      <c r="C526" s="11" t="n">
        <v>4.0</v>
      </c>
      <c r="D526" s="11" t="n">
        <v>5.0</v>
      </c>
      <c r="E526" s="11" t="n">
        <v>5.0</v>
      </c>
      <c r="F526" s="11" t="n">
        <v>5.0</v>
      </c>
      <c r="G526" s="11" t="n">
        <v>5.0</v>
      </c>
      <c r="H526" s="11" t="n">
        <v>4.0</v>
      </c>
      <c r="I526" s="11" t="n">
        <v>5.0</v>
      </c>
      <c r="J526" s="11" t="n">
        <v>5.0</v>
      </c>
      <c r="K526" s="11" t="n">
        <v>4.0</v>
      </c>
      <c r="L526" s="11" t="n">
        <v>4.0</v>
      </c>
    </row>
    <row r="527">
      <c r="B527" s="12" t="s">
        <v>59</v>
      </c>
      <c r="C527" s="11" t="n">
        <v>3.0</v>
      </c>
      <c r="D527" s="11" t="n">
        <v>3.0</v>
      </c>
      <c r="E527" s="11" t="n">
        <v>5.0</v>
      </c>
      <c r="F527" s="11" t="n">
        <v>4.0</v>
      </c>
      <c r="G527" s="11" t="n">
        <v>4.0</v>
      </c>
      <c r="H527" s="11" t="n">
        <v>5.0</v>
      </c>
      <c r="I527" s="11" t="n">
        <v>2.0</v>
      </c>
      <c r="J527" s="11" t="n">
        <v>4.0</v>
      </c>
      <c r="K527" s="11" t="n">
        <v>4.0</v>
      </c>
      <c r="L527" s="11" t="n">
        <v>3.0</v>
      </c>
    </row>
    <row r="528">
      <c r="B528" s="12" t="s">
        <v>60</v>
      </c>
      <c r="C528" s="11" t="n">
        <v>4.0</v>
      </c>
      <c r="D528" s="11" t="n">
        <v>3.0</v>
      </c>
      <c r="E528" s="11" t="n">
        <v>4.0</v>
      </c>
      <c r="F528" s="11" t="n">
        <v>3.0</v>
      </c>
      <c r="G528" s="11" t="n">
        <v>4.0</v>
      </c>
      <c r="H528" s="11" t="n">
        <v>4.0</v>
      </c>
      <c r="I528" s="11" t="n">
        <v>4.0</v>
      </c>
      <c r="J528" s="11" t="n">
        <v>5.0</v>
      </c>
      <c r="K528" s="11" t="n">
        <v>4.0</v>
      </c>
      <c r="L528" s="11" t="n">
        <v>5.0</v>
      </c>
    </row>
    <row r="531">
      <c r="B531" s="6" t="s">
        <v>63</v>
      </c>
    </row>
    <row r="533">
      <c r="B533" s="9" t="s">
        <v>5</v>
      </c>
      <c r="C533" s="11" t="s">
        <v>64</v>
      </c>
      <c r="D533" s="11" t="s">
        <v>65</v>
      </c>
      <c r="E533" s="11" t="s">
        <v>66</v>
      </c>
      <c r="F533" s="11" t="s">
        <v>67</v>
      </c>
      <c r="G533" s="11" t="s">
        <v>68</v>
      </c>
      <c r="H533" s="11" t="s">
        <v>69</v>
      </c>
      <c r="I533" s="11" t="s">
        <v>70</v>
      </c>
      <c r="J533" s="11" t="s">
        <v>71</v>
      </c>
      <c r="K533" s="11" t="s">
        <v>72</v>
      </c>
      <c r="L533" s="11" t="s">
        <v>73</v>
      </c>
    </row>
    <row r="534">
      <c r="B534" s="12" t="s">
        <v>18</v>
      </c>
      <c r="C534" s="11" t="n">
        <v>4.15</v>
      </c>
      <c r="D534" s="11" t="n">
        <v>4.0</v>
      </c>
      <c r="E534" s="11" t="n">
        <v>3.0</v>
      </c>
      <c r="F534" s="11" t="n">
        <v>5.0</v>
      </c>
      <c r="G534" s="11" t="n">
        <v>20.0</v>
      </c>
      <c r="H534" s="11" t="n">
        <v>0.792148975887743</v>
      </c>
      <c r="I534" s="11" t="n">
        <v>-1.39922459992076</v>
      </c>
      <c r="J534" s="11" t="n">
        <v>-0.29575938618447994</v>
      </c>
      <c r="K534" s="11" t="n">
        <v>0.244796086940462</v>
      </c>
      <c r="L534" s="11" t="n">
        <v>0.0012646276517487508</v>
      </c>
    </row>
    <row r="535">
      <c r="B535" s="12" t="s">
        <v>19</v>
      </c>
      <c r="C535" s="11" t="n">
        <v>4.2</v>
      </c>
      <c r="D535" s="11" t="n">
        <v>4.0</v>
      </c>
      <c r="E535" s="11" t="n">
        <v>3.0</v>
      </c>
      <c r="F535" s="11" t="n">
        <v>5.0</v>
      </c>
      <c r="G535" s="11" t="n">
        <v>20.0</v>
      </c>
      <c r="H535" s="11" t="n">
        <v>0.812403840463596</v>
      </c>
      <c r="I535" s="11" t="n">
        <v>-1.434262410198238</v>
      </c>
      <c r="J535" s="11" t="n">
        <v>-0.4120344771497966</v>
      </c>
      <c r="K535" s="11" t="n">
        <v>0.27347804905937867</v>
      </c>
      <c r="L535" s="11" t="n">
        <v>5.646792993858385E-4</v>
      </c>
    </row>
    <row r="536">
      <c r="B536" s="12" t="s">
        <v>20</v>
      </c>
      <c r="C536" s="11" t="n">
        <v>4.7</v>
      </c>
      <c r="D536" s="11" t="n">
        <v>5.0</v>
      </c>
      <c r="E536" s="11" t="n">
        <v>3.0</v>
      </c>
      <c r="F536" s="11" t="n">
        <v>5.0</v>
      </c>
      <c r="G536" s="11" t="n">
        <v>20.0</v>
      </c>
      <c r="H536" s="11" t="n">
        <v>0.5567764362830022</v>
      </c>
      <c r="I536" s="11" t="n">
        <v>2.8609903899124793</v>
      </c>
      <c r="J536" s="11" t="n">
        <v>-1.8446929282262692</v>
      </c>
      <c r="K536" s="11" t="n">
        <v>0.821561269876377</v>
      </c>
      <c r="L536" s="11" t="n">
        <v>8.155242014537284E-9</v>
      </c>
    </row>
    <row r="537">
      <c r="B537" s="12" t="s">
        <v>21</v>
      </c>
      <c r="C537" s="11" t="n">
        <v>4.55</v>
      </c>
      <c r="D537" s="11" t="n">
        <v>5.0</v>
      </c>
      <c r="E537" s="11" t="n">
        <v>3.0</v>
      </c>
      <c r="F537" s="11" t="n">
        <v>5.0</v>
      </c>
      <c r="G537" s="11" t="n">
        <v>20.0</v>
      </c>
      <c r="H537" s="11" t="n">
        <v>0.6689544080129826</v>
      </c>
      <c r="I537" s="11" t="n">
        <v>0.5415977445564533</v>
      </c>
      <c r="J537" s="11" t="n">
        <v>-1.2833707530444007</v>
      </c>
      <c r="K537" s="11" t="n">
        <v>0.5624946843503743</v>
      </c>
      <c r="L537" s="11" t="n">
        <v>5.767376523878948E-7</v>
      </c>
    </row>
    <row r="538">
      <c r="B538" s="12" t="s">
        <v>22</v>
      </c>
      <c r="C538" s="11" t="n">
        <v>4.55</v>
      </c>
      <c r="D538" s="11" t="n">
        <v>5.0</v>
      </c>
      <c r="E538" s="11" t="n">
        <v>3.0</v>
      </c>
      <c r="F538" s="11" t="n">
        <v>5.0</v>
      </c>
      <c r="G538" s="11" t="n">
        <v>20.0</v>
      </c>
      <c r="H538" s="11" t="n">
        <v>0.5894913061275798</v>
      </c>
      <c r="I538" s="11" t="n">
        <v>0.18857871806659565</v>
      </c>
      <c r="J538" s="11" t="n">
        <v>-1.0031568992676165</v>
      </c>
      <c r="K538" s="11" t="n">
        <v>0.5211611252808119</v>
      </c>
      <c r="L538" s="11" t="n">
        <v>1.3451419582928743E-6</v>
      </c>
    </row>
    <row r="539">
      <c r="B539" s="12" t="s">
        <v>23</v>
      </c>
      <c r="C539" s="11" t="n">
        <v>4.65</v>
      </c>
      <c r="D539" s="11" t="n">
        <v>5.0</v>
      </c>
      <c r="E539" s="11" t="n">
        <v>3.0</v>
      </c>
      <c r="F539" s="11" t="n">
        <v>5.0</v>
      </c>
      <c r="G539" s="11" t="n">
        <v>20.0</v>
      </c>
      <c r="H539" s="11" t="n">
        <v>0.5722761571129799</v>
      </c>
      <c r="I539" s="11" t="n">
        <v>1.6364282441605598</v>
      </c>
      <c r="J539" s="11" t="n">
        <v>-1.521145358388634</v>
      </c>
      <c r="K539" s="11" t="n">
        <v>0.6981824145069794</v>
      </c>
      <c r="L539" s="11" t="n">
        <v>4.945965495675007E-8</v>
      </c>
    </row>
    <row r="540">
      <c r="B540" s="12" t="s">
        <v>24</v>
      </c>
      <c r="C540" s="11" t="n">
        <v>4.15</v>
      </c>
      <c r="D540" s="11" t="n">
        <v>4.5</v>
      </c>
      <c r="E540" s="11" t="n">
        <v>2.0</v>
      </c>
      <c r="F540" s="11" t="n">
        <v>5.0</v>
      </c>
      <c r="G540" s="11" t="n">
        <v>20.0</v>
      </c>
      <c r="H540" s="11" t="n">
        <v>1.0136567466356647</v>
      </c>
      <c r="I540" s="11" t="n">
        <v>-0.25367235710949876</v>
      </c>
      <c r="J540" s="11" t="n">
        <v>-0.9521896899010034</v>
      </c>
      <c r="K540" s="11" t="n">
        <v>0.29643986563757274</v>
      </c>
      <c r="L540" s="11" t="n">
        <v>3.0089704956068737E-4</v>
      </c>
    </row>
    <row r="541">
      <c r="B541" s="12" t="s">
        <v>25</v>
      </c>
      <c r="C541" s="11" t="n">
        <v>4.6</v>
      </c>
      <c r="D541" s="11" t="n">
        <v>5.0</v>
      </c>
      <c r="E541" s="11" t="n">
        <v>3.0</v>
      </c>
      <c r="F541" s="11" t="n">
        <v>5.0</v>
      </c>
      <c r="G541" s="11" t="n">
        <v>20.0</v>
      </c>
      <c r="H541" s="11" t="n">
        <v>0.58309518948453</v>
      </c>
      <c r="I541" s="11" t="n">
        <v>0.7831263993486672</v>
      </c>
      <c r="J541" s="11" t="n">
        <v>-1.2454771512307883</v>
      </c>
      <c r="K541" s="11" t="n">
        <v>0.5977708749369263</v>
      </c>
      <c r="L541" s="11" t="n">
        <v>2.9034251422287174E-7</v>
      </c>
    </row>
    <row r="542">
      <c r="B542" s="12" t="s">
        <v>26</v>
      </c>
      <c r="C542" s="11" t="n">
        <v>4.55</v>
      </c>
      <c r="D542" s="11" t="n">
        <v>5.0</v>
      </c>
      <c r="E542" s="11" t="n">
        <v>3.0</v>
      </c>
      <c r="F542" s="11" t="n">
        <v>5.0</v>
      </c>
      <c r="G542" s="11" t="n">
        <v>20.0</v>
      </c>
      <c r="H542" s="11" t="n">
        <v>0.5894913061275798</v>
      </c>
      <c r="I542" s="11" t="n">
        <v>0.18857871806659565</v>
      </c>
      <c r="J542" s="11" t="n">
        <v>-1.0031568992676165</v>
      </c>
      <c r="K542" s="11" t="n">
        <v>0.5211611252808119</v>
      </c>
      <c r="L542" s="11" t="n">
        <v>1.3451419582928743E-6</v>
      </c>
    </row>
    <row r="543">
      <c r="B543" s="12" t="s">
        <v>27</v>
      </c>
      <c r="C543" s="11" t="n">
        <v>4.1</v>
      </c>
      <c r="D543" s="11" t="n">
        <v>4.0</v>
      </c>
      <c r="E543" s="11" t="n">
        <v>2.0</v>
      </c>
      <c r="F543" s="11" t="n">
        <v>5.0</v>
      </c>
      <c r="G543" s="11" t="n">
        <v>20.0</v>
      </c>
      <c r="H543" s="11" t="n">
        <v>0.9433981132056604</v>
      </c>
      <c r="I543" s="11" t="n">
        <v>-0.8498877394664466</v>
      </c>
      <c r="J543" s="11" t="n">
        <v>-0.6036429548342513</v>
      </c>
      <c r="K543" s="11" t="n">
        <v>0.25101706874593616</v>
      </c>
      <c r="L543" s="11" t="n">
        <v>0.0010597327060628183</v>
      </c>
    </row>
    <row r="546">
      <c r="B546" s="6" t="s">
        <v>171</v>
      </c>
    </row>
    <row r="548">
      <c r="B548" s="6" t="s">
        <v>4</v>
      </c>
    </row>
    <row r="550">
      <c r="B550" s="9" t="s">
        <v>76</v>
      </c>
      <c r="C550" s="11" t="s">
        <v>18</v>
      </c>
      <c r="D550" s="11" t="s">
        <v>19</v>
      </c>
      <c r="E550" s="11" t="s">
        <v>20</v>
      </c>
      <c r="F550" s="11" t="s">
        <v>21</v>
      </c>
      <c r="G550" s="11" t="s">
        <v>22</v>
      </c>
      <c r="H550" s="11" t="s">
        <v>23</v>
      </c>
      <c r="I550" s="11" t="s">
        <v>24</v>
      </c>
      <c r="J550" s="11" t="s">
        <v>25</v>
      </c>
      <c r="K550" s="11" t="s">
        <v>26</v>
      </c>
      <c r="L550" s="11" t="s">
        <v>27</v>
      </c>
    </row>
    <row r="551">
      <c r="B551" s="12" t="s">
        <v>41</v>
      </c>
      <c r="C551" s="11" t="n">
        <v>-0.189358320929341</v>
      </c>
      <c r="D551" s="11" t="n">
        <v>-0.2461829819586655</v>
      </c>
      <c r="E551" s="11" t="n">
        <v>0.5388159060803247</v>
      </c>
      <c r="F551" s="11" t="n">
        <v>0.6726915834767423</v>
      </c>
      <c r="G551" s="11" t="n">
        <v>0.7633700367119738</v>
      </c>
      <c r="H551" s="11" t="n">
        <v>0.6115928396627266</v>
      </c>
      <c r="I551" s="11" t="n">
        <v>0.8385481602338833</v>
      </c>
      <c r="J551" s="11" t="n">
        <v>0.6859943405700355</v>
      </c>
      <c r="K551" s="11" t="n">
        <v>0.7633700367119739</v>
      </c>
      <c r="L551" s="11" t="n">
        <v>0.953998092005724</v>
      </c>
    </row>
    <row r="552">
      <c r="B552" s="12" t="s">
        <v>42</v>
      </c>
      <c r="C552" s="11" t="n">
        <v>1.0730304852662655</v>
      </c>
      <c r="D552" s="11" t="n">
        <v>0.984731927834662</v>
      </c>
      <c r="E552" s="11" t="n">
        <v>-1.2572371141874243</v>
      </c>
      <c r="F552" s="11" t="n">
        <v>-2.317048787531001</v>
      </c>
      <c r="G552" s="11" t="n">
        <v>-2.6293856820079102</v>
      </c>
      <c r="H552" s="11" t="n">
        <v>-2.883223386981425</v>
      </c>
      <c r="I552" s="11" t="n">
        <v>-1.1345063344340773</v>
      </c>
      <c r="J552" s="11" t="n">
        <v>-1.0289915108550534</v>
      </c>
      <c r="K552" s="11" t="n">
        <v>0.7633700367119739</v>
      </c>
      <c r="L552" s="11" t="n">
        <v>-1.1659976680069961</v>
      </c>
    </row>
    <row r="553">
      <c r="B553" s="12" t="s">
        <v>43</v>
      </c>
      <c r="C553" s="11" t="n">
        <v>-0.189358320929341</v>
      </c>
      <c r="D553" s="11" t="n">
        <v>-0.2461829819586655</v>
      </c>
      <c r="E553" s="11" t="n">
        <v>0.5388159060803247</v>
      </c>
      <c r="F553" s="11" t="n">
        <v>0.6726915834767423</v>
      </c>
      <c r="G553" s="11" t="n">
        <v>0.7633700367119738</v>
      </c>
      <c r="H553" s="11" t="n">
        <v>0.6115928396627266</v>
      </c>
      <c r="I553" s="11" t="n">
        <v>-1.1345063344340773</v>
      </c>
      <c r="J553" s="11" t="n">
        <v>0.6859943405700355</v>
      </c>
      <c r="K553" s="11" t="n">
        <v>0.7633700367119739</v>
      </c>
      <c r="L553" s="11" t="n">
        <v>-1.1659976680069961</v>
      </c>
    </row>
    <row r="554">
      <c r="B554" s="12" t="s">
        <v>44</v>
      </c>
      <c r="C554" s="11" t="n">
        <v>-1.4517471271249474</v>
      </c>
      <c r="D554" s="11" t="n">
        <v>-1.477097891751993</v>
      </c>
      <c r="E554" s="11" t="n">
        <v>-1.2572371141874243</v>
      </c>
      <c r="F554" s="11" t="n">
        <v>-0.8221786020271294</v>
      </c>
      <c r="G554" s="11" t="n">
        <v>-0.9330078226479681</v>
      </c>
      <c r="H554" s="11" t="n">
        <v>-1.1358152736593492</v>
      </c>
      <c r="I554" s="11" t="n">
        <v>-2.121033581768058</v>
      </c>
      <c r="J554" s="11" t="n">
        <v>-2.743977362280142</v>
      </c>
      <c r="K554" s="11" t="n">
        <v>-2.6293856820079102</v>
      </c>
      <c r="L554" s="11" t="n">
        <v>-2.225995548013356</v>
      </c>
    </row>
    <row r="555">
      <c r="B555" s="12" t="s">
        <v>45</v>
      </c>
      <c r="C555" s="11" t="n">
        <v>-1.4517471271249474</v>
      </c>
      <c r="D555" s="11" t="n">
        <v>-0.2461829819586655</v>
      </c>
      <c r="E555" s="11" t="n">
        <v>-3.053290134455173</v>
      </c>
      <c r="F555" s="11" t="n">
        <v>-0.8221786020271294</v>
      </c>
      <c r="G555" s="11" t="n">
        <v>-0.9330078226479681</v>
      </c>
      <c r="H555" s="11" t="n">
        <v>-1.1358152736593492</v>
      </c>
      <c r="I555" s="11" t="n">
        <v>-0.14797908710009708</v>
      </c>
      <c r="J555" s="11" t="n">
        <v>0.6859943405700355</v>
      </c>
      <c r="K555" s="11" t="n">
        <v>-0.9330078226479681</v>
      </c>
      <c r="L555" s="11" t="n">
        <v>-0.10599978800063599</v>
      </c>
    </row>
    <row r="556">
      <c r="B556" s="12" t="s">
        <v>46</v>
      </c>
      <c r="C556" s="11" t="n">
        <v>1.0730304852662655</v>
      </c>
      <c r="D556" s="11" t="n">
        <v>0.984731927834662</v>
      </c>
      <c r="E556" s="11" t="n">
        <v>0.5388159060803247</v>
      </c>
      <c r="F556" s="11" t="n">
        <v>0.6726915834767423</v>
      </c>
      <c r="G556" s="11" t="n">
        <v>0.7633700367119738</v>
      </c>
      <c r="H556" s="11" t="n">
        <v>0.6115928396627266</v>
      </c>
      <c r="I556" s="11" t="n">
        <v>0.8385481602338833</v>
      </c>
      <c r="J556" s="11" t="n">
        <v>0.6859943405700355</v>
      </c>
      <c r="K556" s="11" t="n">
        <v>-0.9330078226479681</v>
      </c>
      <c r="L556" s="11" t="n">
        <v>0.953998092005724</v>
      </c>
    </row>
    <row r="557">
      <c r="B557" s="12" t="s">
        <v>47</v>
      </c>
      <c r="C557" s="11" t="n">
        <v>-0.189358320929341</v>
      </c>
      <c r="D557" s="11" t="n">
        <v>0.984731927834662</v>
      </c>
      <c r="E557" s="11" t="n">
        <v>0.5388159060803247</v>
      </c>
      <c r="F557" s="11" t="n">
        <v>0.6726915834767423</v>
      </c>
      <c r="G557" s="11" t="n">
        <v>0.7633700367119738</v>
      </c>
      <c r="H557" s="11" t="n">
        <v>0.6115928396627266</v>
      </c>
      <c r="I557" s="11" t="n">
        <v>0.8385481602338833</v>
      </c>
      <c r="J557" s="11" t="n">
        <v>0.6859943405700355</v>
      </c>
      <c r="K557" s="11" t="n">
        <v>0.7633700367119739</v>
      </c>
      <c r="L557" s="11" t="n">
        <v>0.953998092005724</v>
      </c>
    </row>
    <row r="558">
      <c r="B558" s="12" t="s">
        <v>48</v>
      </c>
      <c r="C558" s="11" t="n">
        <v>-0.189358320929341</v>
      </c>
      <c r="D558" s="11" t="n">
        <v>-0.2461829819586655</v>
      </c>
      <c r="E558" s="11" t="n">
        <v>0.5388159060803247</v>
      </c>
      <c r="F558" s="11" t="n">
        <v>-0.8221786020271294</v>
      </c>
      <c r="G558" s="11" t="n">
        <v>-0.9330078226479681</v>
      </c>
      <c r="H558" s="11" t="n">
        <v>-1.1358152736593492</v>
      </c>
      <c r="I558" s="11" t="n">
        <v>0.8385481602338833</v>
      </c>
      <c r="J558" s="11" t="n">
        <v>-1.0289915108550534</v>
      </c>
      <c r="K558" s="11" t="n">
        <v>0.7633700367119739</v>
      </c>
      <c r="L558" s="11" t="n">
        <v>-0.10599978800063599</v>
      </c>
    </row>
    <row r="559">
      <c r="B559" s="12" t="s">
        <v>49</v>
      </c>
      <c r="C559" s="11" t="n">
        <v>-1.4517471271249474</v>
      </c>
      <c r="D559" s="11" t="n">
        <v>-1.477097891751993</v>
      </c>
      <c r="E559" s="11" t="n">
        <v>0.5388159060803247</v>
      </c>
      <c r="F559" s="11" t="n">
        <v>0.6726915834767423</v>
      </c>
      <c r="G559" s="11" t="n">
        <v>0.7633700367119738</v>
      </c>
      <c r="H559" s="11" t="n">
        <v>0.6115928396627266</v>
      </c>
      <c r="I559" s="11" t="n">
        <v>-0.14797908710009708</v>
      </c>
      <c r="J559" s="11" t="n">
        <v>0.6859943405700355</v>
      </c>
      <c r="K559" s="11" t="n">
        <v>0.7633700367119739</v>
      </c>
      <c r="L559" s="11" t="n">
        <v>0.953998092005724</v>
      </c>
    </row>
    <row r="560">
      <c r="B560" s="12" t="s">
        <v>50</v>
      </c>
      <c r="C560" s="11" t="n">
        <v>1.0730304852662655</v>
      </c>
      <c r="D560" s="11" t="n">
        <v>-0.2461829819586655</v>
      </c>
      <c r="E560" s="11" t="n">
        <v>0.5388159060803247</v>
      </c>
      <c r="F560" s="11" t="n">
        <v>0.6726915834767423</v>
      </c>
      <c r="G560" s="11" t="n">
        <v>-0.9330078226479681</v>
      </c>
      <c r="H560" s="11" t="n">
        <v>0.6115928396627266</v>
      </c>
      <c r="I560" s="11" t="n">
        <v>0.8385481602338833</v>
      </c>
      <c r="J560" s="11" t="n">
        <v>0.6859943405700355</v>
      </c>
      <c r="K560" s="11" t="n">
        <v>0.7633700367119739</v>
      </c>
      <c r="L560" s="11" t="n">
        <v>0.953998092005724</v>
      </c>
    </row>
    <row r="561">
      <c r="B561" s="12" t="s">
        <v>51</v>
      </c>
      <c r="C561" s="11" t="n">
        <v>1.0730304852662655</v>
      </c>
      <c r="D561" s="11" t="n">
        <v>0.984731927834662</v>
      </c>
      <c r="E561" s="11" t="n">
        <v>0.5388159060803247</v>
      </c>
      <c r="F561" s="11" t="n">
        <v>0.6726915834767423</v>
      </c>
      <c r="G561" s="11" t="n">
        <v>0.7633700367119738</v>
      </c>
      <c r="H561" s="11" t="n">
        <v>0.6115928396627266</v>
      </c>
      <c r="I561" s="11" t="n">
        <v>0.8385481602338833</v>
      </c>
      <c r="J561" s="11" t="n">
        <v>0.6859943405700355</v>
      </c>
      <c r="K561" s="11" t="n">
        <v>0.7633700367119739</v>
      </c>
      <c r="L561" s="11" t="n">
        <v>-1.1659976680069961</v>
      </c>
    </row>
    <row r="562">
      <c r="B562" s="12" t="s">
        <v>52</v>
      </c>
      <c r="C562" s="11" t="n">
        <v>-0.189358320929341</v>
      </c>
      <c r="D562" s="11" t="n">
        <v>-0.2461829819586655</v>
      </c>
      <c r="E562" s="11" t="n">
        <v>0.5388159060803247</v>
      </c>
      <c r="F562" s="11" t="n">
        <v>0.6726915834767423</v>
      </c>
      <c r="G562" s="11" t="n">
        <v>-0.9330078226479681</v>
      </c>
      <c r="H562" s="11" t="n">
        <v>0.6115928396627266</v>
      </c>
      <c r="I562" s="11" t="n">
        <v>-0.14797908710009708</v>
      </c>
      <c r="J562" s="11" t="n">
        <v>-1.0289915108550534</v>
      </c>
      <c r="K562" s="11" t="n">
        <v>-0.9330078226479681</v>
      </c>
      <c r="L562" s="11" t="n">
        <v>-0.10599978800063599</v>
      </c>
    </row>
    <row r="563">
      <c r="B563" s="12" t="s">
        <v>53</v>
      </c>
      <c r="C563" s="11" t="n">
        <v>-1.4517471271249474</v>
      </c>
      <c r="D563" s="11" t="n">
        <v>-1.477097891751993</v>
      </c>
      <c r="E563" s="11" t="n">
        <v>0.5388159060803247</v>
      </c>
      <c r="F563" s="11" t="n">
        <v>0.6726915834767423</v>
      </c>
      <c r="G563" s="11" t="n">
        <v>0.7633700367119738</v>
      </c>
      <c r="H563" s="11" t="n">
        <v>0.6115928396627266</v>
      </c>
      <c r="I563" s="11" t="n">
        <v>-1.1345063344340773</v>
      </c>
      <c r="J563" s="11" t="n">
        <v>-1.0289915108550534</v>
      </c>
      <c r="K563" s="11" t="n">
        <v>-0.9330078226479681</v>
      </c>
      <c r="L563" s="11" t="n">
        <v>-1.1659976680069961</v>
      </c>
    </row>
    <row r="564">
      <c r="B564" s="12" t="s">
        <v>54</v>
      </c>
      <c r="C564" s="11" t="n">
        <v>1.0730304852662655</v>
      </c>
      <c r="D564" s="11" t="n">
        <v>0.984731927834662</v>
      </c>
      <c r="E564" s="11" t="n">
        <v>0.5388159060803247</v>
      </c>
      <c r="F564" s="11" t="n">
        <v>0.6726915834767423</v>
      </c>
      <c r="G564" s="11" t="n">
        <v>0.7633700367119738</v>
      </c>
      <c r="H564" s="11" t="n">
        <v>0.6115928396627266</v>
      </c>
      <c r="I564" s="11" t="n">
        <v>0.8385481602338833</v>
      </c>
      <c r="J564" s="11" t="n">
        <v>0.6859943405700355</v>
      </c>
      <c r="K564" s="11" t="n">
        <v>0.7633700367119739</v>
      </c>
      <c r="L564" s="11" t="n">
        <v>0.953998092005724</v>
      </c>
    </row>
    <row r="565">
      <c r="B565" s="12" t="s">
        <v>55</v>
      </c>
      <c r="C565" s="11" t="n">
        <v>1.0730304852662655</v>
      </c>
      <c r="D565" s="11" t="n">
        <v>0.984731927834662</v>
      </c>
      <c r="E565" s="11" t="n">
        <v>0.5388159060803247</v>
      </c>
      <c r="F565" s="11" t="n">
        <v>0.6726915834767423</v>
      </c>
      <c r="G565" s="11" t="n">
        <v>0.7633700367119738</v>
      </c>
      <c r="H565" s="11" t="n">
        <v>0.6115928396627266</v>
      </c>
      <c r="I565" s="11" t="n">
        <v>0.8385481602338833</v>
      </c>
      <c r="J565" s="11" t="n">
        <v>0.6859943405700355</v>
      </c>
      <c r="K565" s="11" t="n">
        <v>0.7633700367119739</v>
      </c>
      <c r="L565" s="11" t="n">
        <v>0.953998092005724</v>
      </c>
    </row>
    <row r="566">
      <c r="B566" s="12" t="s">
        <v>56</v>
      </c>
      <c r="C566" s="11" t="n">
        <v>1.0730304852662655</v>
      </c>
      <c r="D566" s="11" t="n">
        <v>0.984731927834662</v>
      </c>
      <c r="E566" s="11" t="n">
        <v>0.5388159060803247</v>
      </c>
      <c r="F566" s="11" t="n">
        <v>-0.8221786020271294</v>
      </c>
      <c r="G566" s="11" t="n">
        <v>0.7633700367119738</v>
      </c>
      <c r="H566" s="11" t="n">
        <v>0.6115928396627266</v>
      </c>
      <c r="I566" s="11" t="n">
        <v>0.8385481602338833</v>
      </c>
      <c r="J566" s="11" t="n">
        <v>0.6859943405700355</v>
      </c>
      <c r="K566" s="11" t="n">
        <v>0.7633700367119739</v>
      </c>
      <c r="L566" s="11" t="n">
        <v>0.953998092005724</v>
      </c>
    </row>
    <row r="567">
      <c r="B567" s="12" t="s">
        <v>57</v>
      </c>
      <c r="C567" s="11" t="n">
        <v>1.0730304852662655</v>
      </c>
      <c r="D567" s="11" t="n">
        <v>0.984731927834662</v>
      </c>
      <c r="E567" s="11" t="n">
        <v>-1.2572371141874243</v>
      </c>
      <c r="F567" s="11" t="n">
        <v>0.6726915834767423</v>
      </c>
      <c r="G567" s="11" t="n">
        <v>0.7633700367119738</v>
      </c>
      <c r="H567" s="11" t="n">
        <v>0.6115928396627266</v>
      </c>
      <c r="I567" s="11" t="n">
        <v>-0.14797908710009708</v>
      </c>
      <c r="J567" s="11" t="n">
        <v>-1.0289915108550534</v>
      </c>
      <c r="K567" s="11" t="n">
        <v>0.7633700367119739</v>
      </c>
      <c r="L567" s="11" t="n">
        <v>-0.10599978800063599</v>
      </c>
    </row>
    <row r="568">
      <c r="B568" s="12" t="s">
        <v>58</v>
      </c>
      <c r="C568" s="11" t="n">
        <v>-0.189358320929341</v>
      </c>
      <c r="D568" s="11" t="n">
        <v>0.984731927834662</v>
      </c>
      <c r="E568" s="11" t="n">
        <v>0.5388159060803247</v>
      </c>
      <c r="F568" s="11" t="n">
        <v>0.6726915834767423</v>
      </c>
      <c r="G568" s="11" t="n">
        <v>0.7633700367119738</v>
      </c>
      <c r="H568" s="11" t="n">
        <v>-1.1358152736593492</v>
      </c>
      <c r="I568" s="11" t="n">
        <v>0.8385481602338833</v>
      </c>
      <c r="J568" s="11" t="n">
        <v>0.6859943405700355</v>
      </c>
      <c r="K568" s="11" t="n">
        <v>-0.9330078226479681</v>
      </c>
      <c r="L568" s="11" t="n">
        <v>-0.10599978800063599</v>
      </c>
    </row>
    <row r="569">
      <c r="B569" s="12" t="s">
        <v>59</v>
      </c>
      <c r="C569" s="11" t="n">
        <v>-1.4517471271249474</v>
      </c>
      <c r="D569" s="11" t="n">
        <v>-1.477097891751993</v>
      </c>
      <c r="E569" s="11" t="n">
        <v>0.5388159060803247</v>
      </c>
      <c r="F569" s="11" t="n">
        <v>-0.8221786020271294</v>
      </c>
      <c r="G569" s="11" t="n">
        <v>-0.9330078226479681</v>
      </c>
      <c r="H569" s="11" t="n">
        <v>0.6115928396627266</v>
      </c>
      <c r="I569" s="11" t="n">
        <v>-2.121033581768058</v>
      </c>
      <c r="J569" s="11" t="n">
        <v>-1.0289915108550534</v>
      </c>
      <c r="K569" s="11" t="n">
        <v>-0.9330078226479681</v>
      </c>
      <c r="L569" s="11" t="n">
        <v>-1.1659976680069961</v>
      </c>
    </row>
    <row r="570">
      <c r="B570" s="12" t="s">
        <v>60</v>
      </c>
      <c r="C570" s="11" t="n">
        <v>-0.189358320929341</v>
      </c>
      <c r="D570" s="11" t="n">
        <v>-1.477097891751993</v>
      </c>
      <c r="E570" s="11" t="n">
        <v>-1.2572371141874243</v>
      </c>
      <c r="F570" s="11" t="n">
        <v>-2.317048787531001</v>
      </c>
      <c r="G570" s="11" t="n">
        <v>-0.9330078226479681</v>
      </c>
      <c r="H570" s="11" t="n">
        <v>-1.1358152736593492</v>
      </c>
      <c r="I570" s="11" t="n">
        <v>-0.14797908710009708</v>
      </c>
      <c r="J570" s="11" t="n">
        <v>0.6859943405700355</v>
      </c>
      <c r="K570" s="11" t="n">
        <v>-0.9330078226479681</v>
      </c>
      <c r="L570" s="11" t="n">
        <v>0.953998092005724</v>
      </c>
    </row>
    <row r="573">
      <c r="B573" s="6" t="s">
        <v>172</v>
      </c>
    </row>
    <row r="575">
      <c r="B575" s="6" t="s">
        <v>173</v>
      </c>
    </row>
    <row r="577">
      <c r="B577" s="9" t="s">
        <v>5</v>
      </c>
      <c r="C577" s="11" t="s">
        <v>18</v>
      </c>
      <c r="D577" s="11" t="s">
        <v>19</v>
      </c>
      <c r="E577" s="11" t="s">
        <v>20</v>
      </c>
      <c r="F577" s="11" t="s">
        <v>21</v>
      </c>
      <c r="G577" s="11" t="s">
        <v>22</v>
      </c>
      <c r="H577" s="11" t="s">
        <v>23</v>
      </c>
      <c r="I577" s="11" t="s">
        <v>24</v>
      </c>
      <c r="J577" s="11" t="s">
        <v>25</v>
      </c>
      <c r="K577" s="11" t="s">
        <v>26</v>
      </c>
      <c r="L577" s="11" t="s">
        <v>27</v>
      </c>
    </row>
    <row r="578">
      <c r="B578" s="12" t="s">
        <v>18</v>
      </c>
      <c r="C578" s="11" t="n">
        <v>1.0000000000000004</v>
      </c>
      <c r="D578" s="11" t="n">
        <v>0.8080244658212331</v>
      </c>
      <c r="E578" s="11" t="n">
        <v>0.21539513667138258</v>
      </c>
      <c r="F578" s="11" t="n">
        <v>0.12737974875045555</v>
      </c>
      <c r="G578" s="11" t="n">
        <v>0.1445504683995488</v>
      </c>
      <c r="H578" s="11" t="n">
        <v>0.11581019321094158</v>
      </c>
      <c r="I578" s="11" t="n">
        <v>0.5946694055547596</v>
      </c>
      <c r="J578" s="11" t="n">
        <v>0.3463966306596597</v>
      </c>
      <c r="K578" s="11" t="n">
        <v>0.5728481525463598</v>
      </c>
      <c r="L578" s="11" t="n">
        <v>0.38136689561866427</v>
      </c>
    </row>
    <row r="579">
      <c r="B579" s="12" t="s">
        <v>19</v>
      </c>
      <c r="C579" s="11" t="n">
        <v>0.8080244658212331</v>
      </c>
      <c r="D579" s="11" t="n">
        <v>1.0000000000000004</v>
      </c>
      <c r="E579" s="11" t="n">
        <v>0.13264730648561457</v>
      </c>
      <c r="F579" s="11" t="n">
        <v>0.2576081199359127</v>
      </c>
      <c r="G579" s="11" t="n">
        <v>0.2923335519621217</v>
      </c>
      <c r="H579" s="11" t="n">
        <v>0.043018214003639435</v>
      </c>
      <c r="I579" s="11" t="n">
        <v>0.6314521707835985</v>
      </c>
      <c r="J579" s="11" t="n">
        <v>0.3799802978286743</v>
      </c>
      <c r="K579" s="11" t="n">
        <v>0.5011432319350659</v>
      </c>
      <c r="L579" s="11" t="n">
        <v>0.30009645481530384</v>
      </c>
    </row>
    <row r="580">
      <c r="B580" s="12" t="s">
        <v>20</v>
      </c>
      <c r="C580" s="11" t="n">
        <v>0.21539513667138258</v>
      </c>
      <c r="D580" s="11" t="n">
        <v>0.13264730648561457</v>
      </c>
      <c r="E580" s="11" t="n">
        <v>1.0</v>
      </c>
      <c r="F580" s="11" t="n">
        <v>0.5772462139902244</v>
      </c>
      <c r="G580" s="11" t="n">
        <v>0.5027194553400959</v>
      </c>
      <c r="H580" s="11" t="n">
        <v>0.6119953358166342</v>
      </c>
      <c r="I580" s="11" t="n">
        <v>0.34551177221937157</v>
      </c>
      <c r="J580" s="11" t="n">
        <v>0.24641644145347907</v>
      </c>
      <c r="K580" s="11" t="n">
        <v>0.35038022644915773</v>
      </c>
      <c r="L580" s="11" t="n">
        <v>0.2474956112021684</v>
      </c>
    </row>
    <row r="581">
      <c r="B581" s="12" t="s">
        <v>21</v>
      </c>
      <c r="C581" s="11" t="n">
        <v>0.12737974875045555</v>
      </c>
      <c r="D581" s="11" t="n">
        <v>0.2576081199359127</v>
      </c>
      <c r="E581" s="11" t="n">
        <v>0.5772462139902244</v>
      </c>
      <c r="F581" s="11" t="n">
        <v>0.9999999999999997</v>
      </c>
      <c r="G581" s="11" t="n">
        <v>0.7544197438785522</v>
      </c>
      <c r="H581" s="11" t="n">
        <v>0.764053374974977</v>
      </c>
      <c r="I581" s="11" t="n">
        <v>0.3944903202681614</v>
      </c>
      <c r="J581" s="11" t="n">
        <v>0.3076417461427606</v>
      </c>
      <c r="K581" s="11" t="n">
        <v>0.24724680681734065</v>
      </c>
      <c r="L581" s="11" t="n">
        <v>0.22976108799022868</v>
      </c>
    </row>
    <row r="582">
      <c r="B582" s="12" t="s">
        <v>22</v>
      </c>
      <c r="C582" s="11" t="n">
        <v>0.1445504683995488</v>
      </c>
      <c r="D582" s="11" t="n">
        <v>0.2923335519621217</v>
      </c>
      <c r="E582" s="11" t="n">
        <v>0.5027194553400959</v>
      </c>
      <c r="F582" s="11" t="n">
        <v>0.7544197438785522</v>
      </c>
      <c r="G582" s="11" t="n">
        <v>1.0000000000000004</v>
      </c>
      <c r="H582" s="11" t="n">
        <v>0.7188341254160833</v>
      </c>
      <c r="I582" s="11" t="n">
        <v>0.44766739715874015</v>
      </c>
      <c r="J582" s="11" t="n">
        <v>0.49457488467042354</v>
      </c>
      <c r="K582" s="11" t="n">
        <v>0.28057553956834563</v>
      </c>
      <c r="L582" s="11" t="n">
        <v>0.35064060224919685</v>
      </c>
    </row>
    <row r="583">
      <c r="B583" s="12" t="s">
        <v>23</v>
      </c>
      <c r="C583" s="11" t="n">
        <v>0.11581019321094158</v>
      </c>
      <c r="D583" s="11" t="n">
        <v>0.043018214003639435</v>
      </c>
      <c r="E583" s="11" t="n">
        <v>0.6119953358166342</v>
      </c>
      <c r="F583" s="11" t="n">
        <v>0.764053374974977</v>
      </c>
      <c r="G583" s="11" t="n">
        <v>0.7188341254160833</v>
      </c>
      <c r="H583" s="11" t="n">
        <v>1.0</v>
      </c>
      <c r="I583" s="11" t="n">
        <v>0.26288952169071556</v>
      </c>
      <c r="J583" s="11" t="n">
        <v>0.32964582101140455</v>
      </c>
      <c r="K583" s="11" t="n">
        <v>0.27419446021025873</v>
      </c>
      <c r="L583" s="11" t="n">
        <v>0.3426660456910531</v>
      </c>
    </row>
    <row r="584">
      <c r="B584" s="12" t="s">
        <v>24</v>
      </c>
      <c r="C584" s="11" t="n">
        <v>0.5946694055547596</v>
      </c>
      <c r="D584" s="11" t="n">
        <v>0.6314521707835985</v>
      </c>
      <c r="E584" s="11" t="n">
        <v>0.34551177221937157</v>
      </c>
      <c r="F584" s="11" t="n">
        <v>0.3944903202681614</v>
      </c>
      <c r="G584" s="11" t="n">
        <v>0.44766739715874015</v>
      </c>
      <c r="H584" s="11" t="n">
        <v>0.26288952169071556</v>
      </c>
      <c r="I584" s="11" t="n">
        <v>1.0000000000000004</v>
      </c>
      <c r="J584" s="11" t="n">
        <v>0.6936709112014773</v>
      </c>
      <c r="K584" s="11" t="n">
        <v>0.5313435461603739</v>
      </c>
      <c r="L584" s="11" t="n">
        <v>0.7686018411957585</v>
      </c>
    </row>
    <row r="585">
      <c r="B585" s="12" t="s">
        <v>25</v>
      </c>
      <c r="C585" s="11" t="n">
        <v>0.3463966306596597</v>
      </c>
      <c r="D585" s="11" t="n">
        <v>0.3799802978286743</v>
      </c>
      <c r="E585" s="11" t="n">
        <v>0.24641644145347907</v>
      </c>
      <c r="F585" s="11" t="n">
        <v>0.3076417461427606</v>
      </c>
      <c r="G585" s="11" t="n">
        <v>0.49457488467042354</v>
      </c>
      <c r="H585" s="11" t="n">
        <v>0.32964582101140455</v>
      </c>
      <c r="I585" s="11" t="n">
        <v>0.6936709112014773</v>
      </c>
      <c r="J585" s="11" t="n">
        <v>1.0000000000000002</v>
      </c>
      <c r="K585" s="11" t="n">
        <v>0.49457488467042354</v>
      </c>
      <c r="L585" s="11" t="n">
        <v>0.7089737330330835</v>
      </c>
    </row>
    <row r="586">
      <c r="B586" s="12" t="s">
        <v>26</v>
      </c>
      <c r="C586" s="11" t="n">
        <v>0.5728481525463598</v>
      </c>
      <c r="D586" s="11" t="n">
        <v>0.5011432319350659</v>
      </c>
      <c r="E586" s="11" t="n">
        <v>0.35038022644915773</v>
      </c>
      <c r="F586" s="11" t="n">
        <v>0.24724680681734065</v>
      </c>
      <c r="G586" s="11" t="n">
        <v>0.28057553956834563</v>
      </c>
      <c r="H586" s="11" t="n">
        <v>0.27419446021025873</v>
      </c>
      <c r="I586" s="11" t="n">
        <v>0.5313435461603739</v>
      </c>
      <c r="J586" s="11" t="n">
        <v>0.49457488467042354</v>
      </c>
      <c r="K586" s="11" t="n">
        <v>1.0000000000000004</v>
      </c>
      <c r="L586" s="11" t="n">
        <v>0.4405484489797602</v>
      </c>
    </row>
    <row r="587">
      <c r="B587" s="12" t="s">
        <v>27</v>
      </c>
      <c r="C587" s="11" t="n">
        <v>0.38136689561866427</v>
      </c>
      <c r="D587" s="11" t="n">
        <v>0.30009645481530384</v>
      </c>
      <c r="E587" s="11" t="n">
        <v>0.2474956112021684</v>
      </c>
      <c r="F587" s="11" t="n">
        <v>0.22976108799022868</v>
      </c>
      <c r="G587" s="11" t="n">
        <v>0.35064060224919685</v>
      </c>
      <c r="H587" s="11" t="n">
        <v>0.3426660456910531</v>
      </c>
      <c r="I587" s="11" t="n">
        <v>0.7686018411957585</v>
      </c>
      <c r="J587" s="11" t="n">
        <v>0.7089737330330835</v>
      </c>
      <c r="K587" s="11" t="n">
        <v>0.4405484489797602</v>
      </c>
      <c r="L587" s="11" t="n">
        <v>0.9999999999999998</v>
      </c>
    </row>
    <row r="590">
      <c r="B590" s="6" t="s">
        <v>174</v>
      </c>
    </row>
    <row r="592">
      <c r="B592" s="9" t="s">
        <v>5</v>
      </c>
      <c r="C592" s="11" t="s">
        <v>18</v>
      </c>
      <c r="D592" s="11" t="s">
        <v>19</v>
      </c>
      <c r="E592" s="11" t="s">
        <v>20</v>
      </c>
      <c r="F592" s="11" t="s">
        <v>21</v>
      </c>
      <c r="G592" s="11" t="s">
        <v>22</v>
      </c>
      <c r="H592" s="11" t="s">
        <v>23</v>
      </c>
      <c r="I592" s="11" t="s">
        <v>24</v>
      </c>
      <c r="J592" s="11" t="s">
        <v>25</v>
      </c>
      <c r="K592" s="11" t="s">
        <v>26</v>
      </c>
      <c r="L592" s="11" t="s">
        <v>27</v>
      </c>
    </row>
    <row r="593">
      <c r="B593" s="12" t="s">
        <v>18</v>
      </c>
      <c r="C593" s="11" t="n">
        <v>1.0</v>
      </c>
      <c r="D593" s="11" t="n">
        <v>0.904001829424702</v>
      </c>
      <c r="E593" s="11" t="n">
        <v>0.16467691726246797</v>
      </c>
      <c r="F593" s="11" t="n">
        <v>0.19267905588250703</v>
      </c>
      <c r="G593" s="11" t="n">
        <v>0.1889228352410083</v>
      </c>
      <c r="H593" s="11" t="n">
        <v>0.1820321057125081</v>
      </c>
      <c r="I593" s="11" t="n">
        <v>0.6125919300220023</v>
      </c>
      <c r="J593" s="11" t="n">
        <v>0.43729484293310356</v>
      </c>
      <c r="K593" s="11" t="n">
        <v>0.4354000704477712</v>
      </c>
      <c r="L593" s="11" t="n">
        <v>0.4193548206345637</v>
      </c>
    </row>
    <row r="594">
      <c r="B594" s="12" t="s">
        <v>19</v>
      </c>
      <c r="C594" s="11" t="n">
        <v>0.904001829424702</v>
      </c>
      <c r="D594" s="11" t="n">
        <v>1.0</v>
      </c>
      <c r="E594" s="11" t="n">
        <v>0.1650234401380156</v>
      </c>
      <c r="F594" s="11" t="n">
        <v>0.19308450250861667</v>
      </c>
      <c r="G594" s="11" t="n">
        <v>0.18932037780624822</v>
      </c>
      <c r="H594" s="11" t="n">
        <v>0.18241514839852677</v>
      </c>
      <c r="I594" s="11" t="n">
        <v>0.6138809820680164</v>
      </c>
      <c r="J594" s="11" t="n">
        <v>0.4382150245162565</v>
      </c>
      <c r="K594" s="11" t="n">
        <v>0.4363162649389804</v>
      </c>
      <c r="L594" s="11" t="n">
        <v>0.4202372517653908</v>
      </c>
    </row>
    <row r="595">
      <c r="B595" s="12" t="s">
        <v>20</v>
      </c>
      <c r="C595" s="11" t="n">
        <v>0.16467691726246797</v>
      </c>
      <c r="D595" s="11" t="n">
        <v>0.1650234401380156</v>
      </c>
      <c r="E595" s="11" t="n">
        <v>1.0</v>
      </c>
      <c r="F595" s="11" t="n">
        <v>0.7029943198696258</v>
      </c>
      <c r="G595" s="11" t="n">
        <v>0.6892896555870646</v>
      </c>
      <c r="H595" s="11" t="n">
        <v>0.664148657796171</v>
      </c>
      <c r="I595" s="11" t="n">
        <v>0.345433830806557</v>
      </c>
      <c r="J595" s="11" t="n">
        <v>0.28101038897425284</v>
      </c>
      <c r="K595" s="11" t="n">
        <v>0.2797927877111105</v>
      </c>
      <c r="L595" s="11" t="n">
        <v>0.26948193688800065</v>
      </c>
    </row>
    <row r="596">
      <c r="B596" s="12" t="s">
        <v>21</v>
      </c>
      <c r="C596" s="11" t="n">
        <v>0.192679055882507</v>
      </c>
      <c r="D596" s="11" t="n">
        <v>0.19308450250861664</v>
      </c>
      <c r="E596" s="11" t="n">
        <v>0.7029943198696258</v>
      </c>
      <c r="F596" s="11" t="n">
        <v>1.0</v>
      </c>
      <c r="G596" s="11" t="n">
        <v>0.8064984593828289</v>
      </c>
      <c r="H596" s="11" t="n">
        <v>0.7770824137170433</v>
      </c>
      <c r="I596" s="11" t="n">
        <v>0.404172397055519</v>
      </c>
      <c r="J596" s="11" t="n">
        <v>0.3287942071106246</v>
      </c>
      <c r="K596" s="11" t="n">
        <v>0.327369561412104</v>
      </c>
      <c r="L596" s="11" t="n">
        <v>0.3153054237359309</v>
      </c>
    </row>
    <row r="597">
      <c r="B597" s="12" t="s">
        <v>22</v>
      </c>
      <c r="C597" s="11" t="n">
        <v>0.1889228352410083</v>
      </c>
      <c r="D597" s="11" t="n">
        <v>0.18932037780624822</v>
      </c>
      <c r="E597" s="11" t="n">
        <v>0.6892896555870645</v>
      </c>
      <c r="F597" s="11" t="n">
        <v>0.8064984593828289</v>
      </c>
      <c r="G597" s="11" t="n">
        <v>1.0</v>
      </c>
      <c r="H597" s="11" t="n">
        <v>0.7619334241749237</v>
      </c>
      <c r="I597" s="11" t="n">
        <v>0.39629317690058063</v>
      </c>
      <c r="J597" s="11" t="n">
        <v>0.32238446225331524</v>
      </c>
      <c r="K597" s="11" t="n">
        <v>0.32098758959714785</v>
      </c>
      <c r="L597" s="11" t="n">
        <v>0.30915863868143284</v>
      </c>
    </row>
    <row r="598">
      <c r="B598" s="12" t="s">
        <v>23</v>
      </c>
      <c r="C598" s="11" t="n">
        <v>0.1820321057125081</v>
      </c>
      <c r="D598" s="11" t="n">
        <v>0.18241514839852674</v>
      </c>
      <c r="E598" s="11" t="n">
        <v>0.664148657796171</v>
      </c>
      <c r="F598" s="11" t="n">
        <v>0.7770824137170435</v>
      </c>
      <c r="G598" s="11" t="n">
        <v>0.7619334241749238</v>
      </c>
      <c r="H598" s="11" t="n">
        <v>1.0</v>
      </c>
      <c r="I598" s="11" t="n">
        <v>0.3818388675920824</v>
      </c>
      <c r="J598" s="11" t="n">
        <v>0.3106258829860464</v>
      </c>
      <c r="K598" s="11" t="n">
        <v>0.3092799595528627</v>
      </c>
      <c r="L598" s="11" t="n">
        <v>0.29788245516536704</v>
      </c>
    </row>
    <row r="599">
      <c r="B599" s="12" t="s">
        <v>24</v>
      </c>
      <c r="C599" s="11" t="n">
        <v>0.6125919300220023</v>
      </c>
      <c r="D599" s="11" t="n">
        <v>0.6138809820680164</v>
      </c>
      <c r="E599" s="11" t="n">
        <v>0.345433830806557</v>
      </c>
      <c r="F599" s="11" t="n">
        <v>0.404172397055519</v>
      </c>
      <c r="G599" s="11" t="n">
        <v>0.39629317690058063</v>
      </c>
      <c r="H599" s="11" t="n">
        <v>0.3818388675920824</v>
      </c>
      <c r="I599" s="11" t="n">
        <v>1.0</v>
      </c>
      <c r="J599" s="11" t="n">
        <v>0.6525673603871778</v>
      </c>
      <c r="K599" s="11" t="n">
        <v>0.6497398249170722</v>
      </c>
      <c r="L599" s="11" t="n">
        <v>0.6257957823870315</v>
      </c>
    </row>
    <row r="600">
      <c r="B600" s="12" t="s">
        <v>25</v>
      </c>
      <c r="C600" s="11" t="n">
        <v>0.4372948429331036</v>
      </c>
      <c r="D600" s="11" t="n">
        <v>0.43821502451625655</v>
      </c>
      <c r="E600" s="11" t="n">
        <v>0.2810103889742528</v>
      </c>
      <c r="F600" s="11" t="n">
        <v>0.3287942071106246</v>
      </c>
      <c r="G600" s="11" t="n">
        <v>0.32238446225331524</v>
      </c>
      <c r="H600" s="11" t="n">
        <v>0.3106258829860464</v>
      </c>
      <c r="I600" s="11" t="n">
        <v>0.6525673603871778</v>
      </c>
      <c r="J600" s="11" t="n">
        <v>1.0</v>
      </c>
      <c r="K600" s="11" t="n">
        <v>0.707722096107547</v>
      </c>
      <c r="L600" s="11" t="n">
        <v>0.6816413060454457</v>
      </c>
    </row>
    <row r="601">
      <c r="B601" s="12" t="s">
        <v>26</v>
      </c>
      <c r="C601" s="11" t="n">
        <v>0.4354000704477712</v>
      </c>
      <c r="D601" s="11" t="n">
        <v>0.43631626493898046</v>
      </c>
      <c r="E601" s="11" t="n">
        <v>0.2797927877111105</v>
      </c>
      <c r="F601" s="11" t="n">
        <v>0.327369561412104</v>
      </c>
      <c r="G601" s="11" t="n">
        <v>0.32098758959714785</v>
      </c>
      <c r="H601" s="11" t="n">
        <v>0.3092799595528627</v>
      </c>
      <c r="I601" s="11" t="n">
        <v>0.6497398249170722</v>
      </c>
      <c r="J601" s="11" t="n">
        <v>0.707722096107547</v>
      </c>
      <c r="K601" s="11" t="n">
        <v>1.0</v>
      </c>
      <c r="L601" s="11" t="n">
        <v>0.6786877949020305</v>
      </c>
    </row>
    <row r="602">
      <c r="B602" s="12" t="s">
        <v>27</v>
      </c>
      <c r="C602" s="11" t="n">
        <v>0.4193548206345637</v>
      </c>
      <c r="D602" s="11" t="n">
        <v>0.42023725176539084</v>
      </c>
      <c r="E602" s="11" t="n">
        <v>0.26948193688800065</v>
      </c>
      <c r="F602" s="11" t="n">
        <v>0.3153054237359309</v>
      </c>
      <c r="G602" s="11" t="n">
        <v>0.30915863868143284</v>
      </c>
      <c r="H602" s="11" t="n">
        <v>0.29788245516536704</v>
      </c>
      <c r="I602" s="11" t="n">
        <v>0.6257957823870315</v>
      </c>
      <c r="J602" s="11" t="n">
        <v>0.6816413060454457</v>
      </c>
      <c r="K602" s="11" t="n">
        <v>0.6786877949020305</v>
      </c>
      <c r="L602" s="11" t="n">
        <v>1.0</v>
      </c>
    </row>
    <row r="605">
      <c r="B605" s="6" t="s">
        <v>175</v>
      </c>
    </row>
    <row r="607">
      <c r="B607" s="9" t="s">
        <v>5</v>
      </c>
      <c r="C607" s="11" t="s">
        <v>18</v>
      </c>
      <c r="D607" s="11" t="s">
        <v>19</v>
      </c>
      <c r="E607" s="11" t="s">
        <v>20</v>
      </c>
      <c r="F607" s="11" t="s">
        <v>21</v>
      </c>
      <c r="G607" s="11" t="s">
        <v>22</v>
      </c>
      <c r="H607" s="11" t="s">
        <v>23</v>
      </c>
      <c r="I607" s="11" t="s">
        <v>24</v>
      </c>
      <c r="J607" s="11" t="s">
        <v>25</v>
      </c>
      <c r="K607" s="11" t="s">
        <v>26</v>
      </c>
      <c r="L607" s="11" t="s">
        <v>27</v>
      </c>
    </row>
    <row r="608">
      <c r="B608" s="12" t="s">
        <v>18</v>
      </c>
      <c r="C608" s="11" t="n">
        <v>1.0</v>
      </c>
      <c r="D608" s="11" t="n">
        <v>0.904001829424702</v>
      </c>
      <c r="E608" s="11" t="n">
        <v>0.16467691726246794</v>
      </c>
      <c r="F608" s="11" t="n">
        <v>0.192679055882507</v>
      </c>
      <c r="G608" s="11" t="n">
        <v>0.1889228352410083</v>
      </c>
      <c r="H608" s="11" t="n">
        <v>0.1820321057125081</v>
      </c>
      <c r="I608" s="11" t="n">
        <v>0.6125919300220024</v>
      </c>
      <c r="J608" s="11" t="n">
        <v>0.4372948429331037</v>
      </c>
      <c r="K608" s="11" t="n">
        <v>0.4354000704477714</v>
      </c>
      <c r="L608" s="11" t="n">
        <v>0.41935482063456386</v>
      </c>
    </row>
    <row r="609">
      <c r="B609" s="12" t="s">
        <v>19</v>
      </c>
      <c r="C609" s="11" t="n">
        <v>0.904001829424702</v>
      </c>
      <c r="D609" s="11" t="n">
        <v>1.0</v>
      </c>
      <c r="E609" s="11" t="n">
        <v>0.16502344013801556</v>
      </c>
      <c r="F609" s="11" t="n">
        <v>0.19308450250861664</v>
      </c>
      <c r="G609" s="11" t="n">
        <v>0.18932037780624822</v>
      </c>
      <c r="H609" s="11" t="n">
        <v>0.18241514839852674</v>
      </c>
      <c r="I609" s="11" t="n">
        <v>0.6138809820680166</v>
      </c>
      <c r="J609" s="11" t="n">
        <v>0.43821502451625666</v>
      </c>
      <c r="K609" s="11" t="n">
        <v>0.4363162649389806</v>
      </c>
      <c r="L609" s="11" t="n">
        <v>0.42023725176539095</v>
      </c>
    </row>
    <row r="610">
      <c r="B610" s="12" t="s">
        <v>20</v>
      </c>
      <c r="C610" s="11" t="n">
        <v>0.16467691726246797</v>
      </c>
      <c r="D610" s="11" t="n">
        <v>0.1650234401380156</v>
      </c>
      <c r="E610" s="11" t="n">
        <v>1.0</v>
      </c>
      <c r="F610" s="11" t="n">
        <v>0.7029943198696255</v>
      </c>
      <c r="G610" s="11" t="n">
        <v>0.6892896555870642</v>
      </c>
      <c r="H610" s="11" t="n">
        <v>0.6641486577961707</v>
      </c>
      <c r="I610" s="11" t="n">
        <v>0.3454338308065569</v>
      </c>
      <c r="J610" s="11" t="n">
        <v>0.28101038897425273</v>
      </c>
      <c r="K610" s="11" t="n">
        <v>0.27979278771111044</v>
      </c>
      <c r="L610" s="11" t="n">
        <v>0.26948193688800054</v>
      </c>
    </row>
    <row r="611">
      <c r="B611" s="12" t="s">
        <v>21</v>
      </c>
      <c r="C611" s="11" t="n">
        <v>0.192679055882507</v>
      </c>
      <c r="D611" s="11" t="n">
        <v>0.19308450250861664</v>
      </c>
      <c r="E611" s="11" t="n">
        <v>0.7029943198696255</v>
      </c>
      <c r="F611" s="11" t="n">
        <v>1.0</v>
      </c>
      <c r="G611" s="11" t="n">
        <v>0.8064984593828286</v>
      </c>
      <c r="H611" s="11" t="n">
        <v>0.777082413717043</v>
      </c>
      <c r="I611" s="11" t="n">
        <v>0.4041723970555189</v>
      </c>
      <c r="J611" s="11" t="n">
        <v>0.3287942071106245</v>
      </c>
      <c r="K611" s="11" t="n">
        <v>0.3273695614121039</v>
      </c>
      <c r="L611" s="11" t="n">
        <v>0.3153054237359308</v>
      </c>
    </row>
    <row r="612">
      <c r="B612" s="12" t="s">
        <v>22</v>
      </c>
      <c r="C612" s="11" t="n">
        <v>0.1889228352410083</v>
      </c>
      <c r="D612" s="11" t="n">
        <v>0.18932037780624822</v>
      </c>
      <c r="E612" s="11" t="n">
        <v>0.6892896555870642</v>
      </c>
      <c r="F612" s="11" t="n">
        <v>0.8064984593828286</v>
      </c>
      <c r="G612" s="11" t="n">
        <v>1.0</v>
      </c>
      <c r="H612" s="11" t="n">
        <v>0.7619334241749234</v>
      </c>
      <c r="I612" s="11" t="n">
        <v>0.3962931769005805</v>
      </c>
      <c r="J612" s="11" t="n">
        <v>0.32238446225331513</v>
      </c>
      <c r="K612" s="11" t="n">
        <v>0.3209875895971478</v>
      </c>
      <c r="L612" s="11" t="n">
        <v>0.30915863868143273</v>
      </c>
    </row>
    <row r="613">
      <c r="B613" s="12" t="s">
        <v>23</v>
      </c>
      <c r="C613" s="11" t="n">
        <v>0.1820321057125081</v>
      </c>
      <c r="D613" s="11" t="n">
        <v>0.18241514839852674</v>
      </c>
      <c r="E613" s="11" t="n">
        <v>0.6641486577961707</v>
      </c>
      <c r="F613" s="11" t="n">
        <v>0.777082413717043</v>
      </c>
      <c r="G613" s="11" t="n">
        <v>0.7619334241749234</v>
      </c>
      <c r="H613" s="11" t="n">
        <v>1.0</v>
      </c>
      <c r="I613" s="11" t="n">
        <v>0.3818388675920823</v>
      </c>
      <c r="J613" s="11" t="n">
        <v>0.31062588298604626</v>
      </c>
      <c r="K613" s="11" t="n">
        <v>0.3092799595528626</v>
      </c>
      <c r="L613" s="11" t="n">
        <v>0.29788245516536693</v>
      </c>
    </row>
    <row r="614">
      <c r="B614" s="12" t="s">
        <v>24</v>
      </c>
      <c r="C614" s="11" t="n">
        <v>0.6125919300220024</v>
      </c>
      <c r="D614" s="11" t="n">
        <v>0.6138809820680166</v>
      </c>
      <c r="E614" s="11" t="n">
        <v>0.3454338308065569</v>
      </c>
      <c r="F614" s="11" t="n">
        <v>0.4041723970555189</v>
      </c>
      <c r="G614" s="11" t="n">
        <v>0.3962931769005805</v>
      </c>
      <c r="H614" s="11" t="n">
        <v>0.3818388675920823</v>
      </c>
      <c r="I614" s="11" t="n">
        <v>1.0</v>
      </c>
      <c r="J614" s="11" t="n">
        <v>0.6525673603871778</v>
      </c>
      <c r="K614" s="11" t="n">
        <v>0.6497398249170722</v>
      </c>
      <c r="L614" s="11" t="n">
        <v>0.6257957823870315</v>
      </c>
    </row>
    <row r="615">
      <c r="B615" s="12" t="s">
        <v>25</v>
      </c>
      <c r="C615" s="11" t="n">
        <v>0.4372948429331038</v>
      </c>
      <c r="D615" s="11" t="n">
        <v>0.4382150245162567</v>
      </c>
      <c r="E615" s="11" t="n">
        <v>0.2810103889742528</v>
      </c>
      <c r="F615" s="11" t="n">
        <v>0.3287942071106245</v>
      </c>
      <c r="G615" s="11" t="n">
        <v>0.32238446225331513</v>
      </c>
      <c r="H615" s="11" t="n">
        <v>0.31062588298604626</v>
      </c>
      <c r="I615" s="11" t="n">
        <v>0.6525673603871778</v>
      </c>
      <c r="J615" s="11" t="n">
        <v>1.0</v>
      </c>
      <c r="K615" s="11" t="n">
        <v>0.707722096107547</v>
      </c>
      <c r="L615" s="11" t="n">
        <v>0.6816413060454457</v>
      </c>
    </row>
    <row r="616">
      <c r="B616" s="12" t="s">
        <v>26</v>
      </c>
      <c r="C616" s="11" t="n">
        <v>0.4354000704477714</v>
      </c>
      <c r="D616" s="11" t="n">
        <v>0.4363162649389807</v>
      </c>
      <c r="E616" s="11" t="n">
        <v>0.27979278771111044</v>
      </c>
      <c r="F616" s="11" t="n">
        <v>0.32736956141210394</v>
      </c>
      <c r="G616" s="11" t="n">
        <v>0.3209875895971478</v>
      </c>
      <c r="H616" s="11" t="n">
        <v>0.3092799595528626</v>
      </c>
      <c r="I616" s="11" t="n">
        <v>0.6497398249170722</v>
      </c>
      <c r="J616" s="11" t="n">
        <v>0.707722096107547</v>
      </c>
      <c r="K616" s="11" t="n">
        <v>1.0</v>
      </c>
      <c r="L616" s="11" t="n">
        <v>0.6786877949020305</v>
      </c>
    </row>
    <row r="617">
      <c r="B617" s="12" t="s">
        <v>27</v>
      </c>
      <c r="C617" s="11" t="n">
        <v>0.41935482063456386</v>
      </c>
      <c r="D617" s="11" t="n">
        <v>0.420237251765391</v>
      </c>
      <c r="E617" s="11" t="n">
        <v>0.2694819368880006</v>
      </c>
      <c r="F617" s="11" t="n">
        <v>0.3153054237359308</v>
      </c>
      <c r="G617" s="11" t="n">
        <v>0.30915863868143273</v>
      </c>
      <c r="H617" s="11" t="n">
        <v>0.29788245516536693</v>
      </c>
      <c r="I617" s="11" t="n">
        <v>0.6257957823870315</v>
      </c>
      <c r="J617" s="11" t="n">
        <v>0.6816413060454457</v>
      </c>
      <c r="K617" s="11" t="n">
        <v>0.6786877949020305</v>
      </c>
      <c r="L617" s="11" t="n">
        <v>1.0</v>
      </c>
    </row>
    <row r="620">
      <c r="B620" s="6" t="s">
        <v>176</v>
      </c>
    </row>
    <row r="622">
      <c r="B622" s="9" t="s">
        <v>5</v>
      </c>
      <c r="C622" s="11" t="s">
        <v>18</v>
      </c>
      <c r="D622" s="11" t="s">
        <v>19</v>
      </c>
      <c r="E622" s="11" t="s">
        <v>20</v>
      </c>
      <c r="F622" s="11" t="s">
        <v>21</v>
      </c>
      <c r="G622" s="11" t="s">
        <v>22</v>
      </c>
      <c r="H622" s="11" t="s">
        <v>23</v>
      </c>
      <c r="I622" s="11" t="s">
        <v>24</v>
      </c>
      <c r="J622" s="11" t="s">
        <v>25</v>
      </c>
      <c r="K622" s="11" t="s">
        <v>26</v>
      </c>
      <c r="L622" s="11" t="s">
        <v>27</v>
      </c>
    </row>
    <row r="623">
      <c r="B623" s="12" t="s">
        <v>18</v>
      </c>
      <c r="C623" s="11" t="n">
        <v>0.9999999999999993</v>
      </c>
      <c r="D623" s="11" t="n">
        <v>0.8080244658212326</v>
      </c>
      <c r="E623" s="11" t="n">
        <v>0.21539513667138258</v>
      </c>
      <c r="F623" s="11" t="n">
        <v>0.12737974875045546</v>
      </c>
      <c r="G623" s="11" t="n">
        <v>0.1445504683995486</v>
      </c>
      <c r="H623" s="11" t="n">
        <v>0.11581019321094155</v>
      </c>
      <c r="I623" s="11" t="n">
        <v>0.594669405554759</v>
      </c>
      <c r="J623" s="11" t="n">
        <v>0.3463966306596596</v>
      </c>
      <c r="K623" s="11" t="n">
        <v>0.5728481525463593</v>
      </c>
      <c r="L623" s="11" t="n">
        <v>0.3813668956186641</v>
      </c>
    </row>
    <row r="624">
      <c r="B624" s="12" t="s">
        <v>19</v>
      </c>
      <c r="C624" s="11" t="n">
        <v>0.8080244658212326</v>
      </c>
      <c r="D624" s="11" t="n">
        <v>1.0</v>
      </c>
      <c r="E624" s="11" t="n">
        <v>0.13264730648561457</v>
      </c>
      <c r="F624" s="11" t="n">
        <v>0.2576081199359125</v>
      </c>
      <c r="G624" s="11" t="n">
        <v>0.2923335519621215</v>
      </c>
      <c r="H624" s="11" t="n">
        <v>0.043018214003639456</v>
      </c>
      <c r="I624" s="11" t="n">
        <v>0.6314521707835979</v>
      </c>
      <c r="J624" s="11" t="n">
        <v>0.3799802978286742</v>
      </c>
      <c r="K624" s="11" t="n">
        <v>0.5011432319350655</v>
      </c>
      <c r="L624" s="11" t="n">
        <v>0.3000964548153037</v>
      </c>
    </row>
    <row r="625">
      <c r="B625" s="12" t="s">
        <v>20</v>
      </c>
      <c r="C625" s="11" t="n">
        <v>0.21539513667138258</v>
      </c>
      <c r="D625" s="11" t="n">
        <v>0.13264730648561457</v>
      </c>
      <c r="E625" s="11" t="n">
        <v>1.0000000000000004</v>
      </c>
      <c r="F625" s="11" t="n">
        <v>0.5772462139902245</v>
      </c>
      <c r="G625" s="11" t="n">
        <v>0.5027194553400955</v>
      </c>
      <c r="H625" s="11" t="n">
        <v>0.6119953358166343</v>
      </c>
      <c r="I625" s="11" t="n">
        <v>0.3455117722193717</v>
      </c>
      <c r="J625" s="11" t="n">
        <v>0.246416441453479</v>
      </c>
      <c r="K625" s="11" t="n">
        <v>0.35038022644915756</v>
      </c>
      <c r="L625" s="11" t="n">
        <v>0.2474956112021684</v>
      </c>
    </row>
    <row r="626">
      <c r="B626" s="12" t="s">
        <v>21</v>
      </c>
      <c r="C626" s="11" t="n">
        <v>0.12737974875045546</v>
      </c>
      <c r="D626" s="11" t="n">
        <v>0.2576081199359125</v>
      </c>
      <c r="E626" s="11" t="n">
        <v>0.5772462139902245</v>
      </c>
      <c r="F626" s="11" t="n">
        <v>0.9999999999999993</v>
      </c>
      <c r="G626" s="11" t="n">
        <v>0.7544197438785514</v>
      </c>
      <c r="H626" s="11" t="n">
        <v>0.7640533749749772</v>
      </c>
      <c r="I626" s="11" t="n">
        <v>0.3944903202681612</v>
      </c>
      <c r="J626" s="11" t="n">
        <v>0.30764174614276063</v>
      </c>
      <c r="K626" s="11" t="n">
        <v>0.2472468068173405</v>
      </c>
      <c r="L626" s="11" t="n">
        <v>0.22976108799022876</v>
      </c>
    </row>
    <row r="627">
      <c r="B627" s="12" t="s">
        <v>22</v>
      </c>
      <c r="C627" s="11" t="n">
        <v>0.1445504683995486</v>
      </c>
      <c r="D627" s="11" t="n">
        <v>0.2923335519621215</v>
      </c>
      <c r="E627" s="11" t="n">
        <v>0.5027194553400955</v>
      </c>
      <c r="F627" s="11" t="n">
        <v>0.7544197438785514</v>
      </c>
      <c r="G627" s="11" t="n">
        <v>0.9999999999999986</v>
      </c>
      <c r="H627" s="11" t="n">
        <v>0.718834125416083</v>
      </c>
      <c r="I627" s="11" t="n">
        <v>0.4476673971587396</v>
      </c>
      <c r="J627" s="11" t="n">
        <v>0.4945748846704231</v>
      </c>
      <c r="K627" s="11" t="n">
        <v>0.2805755395683448</v>
      </c>
      <c r="L627" s="11" t="n">
        <v>0.3506406022491966</v>
      </c>
    </row>
    <row r="628">
      <c r="B628" s="12" t="s">
        <v>23</v>
      </c>
      <c r="C628" s="11" t="n">
        <v>0.11581019321094155</v>
      </c>
      <c r="D628" s="11" t="n">
        <v>0.043018214003639456</v>
      </c>
      <c r="E628" s="11" t="n">
        <v>0.6119953358166343</v>
      </c>
      <c r="F628" s="11" t="n">
        <v>0.7640533749749772</v>
      </c>
      <c r="G628" s="11" t="n">
        <v>0.718834125416083</v>
      </c>
      <c r="H628" s="11" t="n">
        <v>1.0</v>
      </c>
      <c r="I628" s="11" t="n">
        <v>0.26288952169071533</v>
      </c>
      <c r="J628" s="11" t="n">
        <v>0.32964582101140427</v>
      </c>
      <c r="K628" s="11" t="n">
        <v>0.2741944602102583</v>
      </c>
      <c r="L628" s="11" t="n">
        <v>0.3426660456910531</v>
      </c>
    </row>
    <row r="629">
      <c r="B629" s="12" t="s">
        <v>24</v>
      </c>
      <c r="C629" s="11" t="n">
        <v>0.594669405554759</v>
      </c>
      <c r="D629" s="11" t="n">
        <v>0.6314521707835979</v>
      </c>
      <c r="E629" s="11" t="n">
        <v>0.3455117722193717</v>
      </c>
      <c r="F629" s="11" t="n">
        <v>0.3944903202681612</v>
      </c>
      <c r="G629" s="11" t="n">
        <v>0.4476673971587396</v>
      </c>
      <c r="H629" s="11" t="n">
        <v>0.26288952169071533</v>
      </c>
      <c r="I629" s="11" t="n">
        <v>0.9999999999999998</v>
      </c>
      <c r="J629" s="11" t="n">
        <v>0.693670911201477</v>
      </c>
      <c r="K629" s="11" t="n">
        <v>0.5313435461603733</v>
      </c>
      <c r="L629" s="11" t="n">
        <v>0.7686018411957585</v>
      </c>
    </row>
    <row r="630">
      <c r="B630" s="12" t="s">
        <v>25</v>
      </c>
      <c r="C630" s="11" t="n">
        <v>0.3463966306596596</v>
      </c>
      <c r="D630" s="11" t="n">
        <v>0.3799802978286742</v>
      </c>
      <c r="E630" s="11" t="n">
        <v>0.246416441453479</v>
      </c>
      <c r="F630" s="11" t="n">
        <v>0.30764174614276063</v>
      </c>
      <c r="G630" s="11" t="n">
        <v>0.4945748846704231</v>
      </c>
      <c r="H630" s="11" t="n">
        <v>0.32964582101140427</v>
      </c>
      <c r="I630" s="11" t="n">
        <v>0.693670911201477</v>
      </c>
      <c r="J630" s="11" t="n">
        <v>1.0</v>
      </c>
      <c r="K630" s="11" t="n">
        <v>0.4945748846704231</v>
      </c>
      <c r="L630" s="11" t="n">
        <v>0.7089737330330835</v>
      </c>
    </row>
    <row r="631">
      <c r="B631" s="12" t="s">
        <v>26</v>
      </c>
      <c r="C631" s="11" t="n">
        <v>0.5728481525463593</v>
      </c>
      <c r="D631" s="11" t="n">
        <v>0.5011432319350655</v>
      </c>
      <c r="E631" s="11" t="n">
        <v>0.35038022644915756</v>
      </c>
      <c r="F631" s="11" t="n">
        <v>0.2472468068173405</v>
      </c>
      <c r="G631" s="11" t="n">
        <v>0.2805755395683448</v>
      </c>
      <c r="H631" s="11" t="n">
        <v>0.2741944602102583</v>
      </c>
      <c r="I631" s="11" t="n">
        <v>0.5313435461603733</v>
      </c>
      <c r="J631" s="11" t="n">
        <v>0.4945748846704231</v>
      </c>
      <c r="K631" s="11" t="n">
        <v>0.9999999999999986</v>
      </c>
      <c r="L631" s="11" t="n">
        <v>0.44054844897975975</v>
      </c>
    </row>
    <row r="632">
      <c r="B632" s="12" t="s">
        <v>27</v>
      </c>
      <c r="C632" s="11" t="n">
        <v>0.3813668956186641</v>
      </c>
      <c r="D632" s="11" t="n">
        <v>0.3000964548153037</v>
      </c>
      <c r="E632" s="11" t="n">
        <v>0.2474956112021684</v>
      </c>
      <c r="F632" s="11" t="n">
        <v>0.22976108799022876</v>
      </c>
      <c r="G632" s="11" t="n">
        <v>0.3506406022491966</v>
      </c>
      <c r="H632" s="11" t="n">
        <v>0.3426660456910531</v>
      </c>
      <c r="I632" s="11" t="n">
        <v>0.7686018411957585</v>
      </c>
      <c r="J632" s="11" t="n">
        <v>0.7089737330330835</v>
      </c>
      <c r="K632" s="11" t="n">
        <v>0.44054844897975975</v>
      </c>
      <c r="L632" s="11" t="n">
        <v>0.9999999999999998</v>
      </c>
    </row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B1:B22"/>
  <sheetViews>
    <sheetView workbookViewId="0" showGridLines="false"/>
  </sheetViews>
  <sheetFormatPr defaultRowHeight="15.0"/>
  <cols>
    <col min="2" max="2" bestFit="true" customWidth="true" width="16.42578125" outlineLevel="0"/>
  </cols>
  <sheetData>
    <row r="1">
      <c r="B1" s="2" t="s">
        <v>0</v>
      </c>
    </row>
    <row r="2">
      <c r="B2" s="4" t="s">
        <v>1</v>
      </c>
    </row>
    <row r="6" ht="576.0" customHeight="true"/>
    <row r="8" ht="576.0" customHeight="true"/>
    <row r="10" ht="576.0" customHeight="true"/>
    <row r="12" ht="576.0" customHeight="true"/>
    <row r="14" ht="576.0" customHeight="true"/>
    <row r="16" ht="576.0" customHeight="true"/>
    <row r="18" ht="576.0" customHeight="true"/>
    <row r="20" ht="576.0" customHeight="true"/>
    <row r="22" ht="576.0" customHeight="true"/>
  </sheetData>
  <mergeCells>
    <mergeCell ref="B2:K2"/>
  </mergeCells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SmartPLS</Application>
  <AppVersion>4.0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2025-11-27T17:51:15Z</dcterms:created>
  <dc:creator>SmartPLS</dc:creator>
</cp:coreProperties>
</file>